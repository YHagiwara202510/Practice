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yuki_\Downloads\"/>
    </mc:Choice>
  </mc:AlternateContent>
  <xr:revisionPtr revIDLastSave="0" documentId="13_ncr:1_{06144DE4-D5D1-4509-8CEE-577878D84916}" xr6:coauthVersionLast="47" xr6:coauthVersionMax="47" xr10:uidLastSave="{00000000-0000-0000-0000-000000000000}"/>
  <bookViews>
    <workbookView xWindow="10760" yWindow="2490" windowWidth="22340" windowHeight="16460" xr2:uid="{00000000-000D-0000-FFFF-FFFF00000000}"/>
  </bookViews>
  <sheets>
    <sheet name="調査票" sheetId="12" r:id="rId1"/>
    <sheet name="集計票" sheetId="13" r:id="rId2"/>
  </sheets>
  <definedNames>
    <definedName name="_xlnm.Print_Area" localSheetId="0">調査票!$A$1:$AP$366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P5" i="13" l="1"/>
  <c r="FZ5" i="13" l="1"/>
  <c r="FY5" i="13"/>
  <c r="C5" i="13"/>
  <c r="D1" i="13"/>
  <c r="E1" i="13" s="1"/>
  <c r="F1" i="13" s="1"/>
  <c r="G1" i="13" s="1"/>
  <c r="H1" i="13" s="1"/>
  <c r="I1" i="13" s="1"/>
  <c r="J1" i="13" s="1"/>
  <c r="K1" i="13" s="1"/>
  <c r="L1" i="13" s="1"/>
  <c r="M1" i="13" s="1"/>
  <c r="N1" i="13" s="1"/>
  <c r="O1" i="13" s="1"/>
  <c r="P1" i="13" s="1"/>
  <c r="Q1" i="13" s="1"/>
  <c r="R1" i="13" s="1"/>
  <c r="S1" i="13" s="1"/>
  <c r="T1" i="13" s="1"/>
  <c r="U1" i="13" s="1"/>
  <c r="V1" i="13" s="1"/>
  <c r="W1" i="13" s="1"/>
  <c r="X1" i="13" s="1"/>
  <c r="Y1" i="13" s="1"/>
  <c r="Z1" i="13" s="1"/>
  <c r="AA1" i="13" s="1"/>
  <c r="AB1" i="13" s="1"/>
  <c r="AC1" i="13" s="1"/>
  <c r="AD1" i="13" s="1"/>
  <c r="AE1" i="13" s="1"/>
  <c r="AF1" i="13" s="1"/>
  <c r="AG1" i="13" s="1"/>
  <c r="AH1" i="13" s="1"/>
  <c r="AI1" i="13" s="1"/>
  <c r="AJ1" i="13" s="1"/>
  <c r="AK1" i="13" s="1"/>
  <c r="AL1" i="13" s="1"/>
  <c r="AM1" i="13" s="1"/>
  <c r="AN1" i="13" s="1"/>
  <c r="AO1" i="13" s="1"/>
  <c r="AP1" i="13" s="1"/>
  <c r="AQ1" i="13" s="1"/>
  <c r="AR1" i="13" s="1"/>
  <c r="AS1" i="13" s="1"/>
  <c r="AT1" i="13" s="1"/>
  <c r="AU1" i="13" s="1"/>
  <c r="AV1" i="13" s="1"/>
  <c r="AW1" i="13" s="1"/>
  <c r="AX1" i="13" s="1"/>
  <c r="AY1" i="13" s="1"/>
  <c r="AZ1" i="13" s="1"/>
  <c r="BA1" i="13" s="1"/>
  <c r="BB1" i="13" s="1"/>
  <c r="BC1" i="13" s="1"/>
  <c r="BD1" i="13" s="1"/>
  <c r="BE1" i="13" s="1"/>
  <c r="BF1" i="13" s="1"/>
  <c r="BG1" i="13" s="1"/>
  <c r="BH1" i="13" s="1"/>
  <c r="BI1" i="13" s="1"/>
  <c r="BJ1" i="13" s="1"/>
  <c r="BK1" i="13" s="1"/>
  <c r="BL1" i="13" s="1"/>
  <c r="BM1" i="13" s="1"/>
  <c r="BN1" i="13" s="1"/>
  <c r="BO1" i="13" s="1"/>
  <c r="BP1" i="13" s="1"/>
  <c r="BQ1" i="13" s="1"/>
  <c r="BR1" i="13" s="1"/>
  <c r="BS1" i="13" s="1"/>
  <c r="BT1" i="13" s="1"/>
  <c r="BU1" i="13" s="1"/>
  <c r="BV1" i="13" s="1"/>
  <c r="BW1" i="13" s="1"/>
  <c r="BX1" i="13" s="1"/>
  <c r="BY1" i="13" s="1"/>
  <c r="BZ1" i="13" s="1"/>
  <c r="CA1" i="13" s="1"/>
  <c r="CB1" i="13" s="1"/>
  <c r="CC1" i="13" s="1"/>
  <c r="CD1" i="13" s="1"/>
  <c r="CE1" i="13" s="1"/>
  <c r="CF1" i="13" s="1"/>
  <c r="CG1" i="13" s="1"/>
  <c r="CH1" i="13" s="1"/>
  <c r="CI1" i="13" s="1"/>
  <c r="CJ1" i="13" s="1"/>
  <c r="CK1" i="13" s="1"/>
  <c r="CL1" i="13" s="1"/>
  <c r="CM1" i="13" s="1"/>
  <c r="CN1" i="13" s="1"/>
  <c r="CO1" i="13" s="1"/>
  <c r="CP1" i="13" s="1"/>
  <c r="CQ1" i="13" s="1"/>
  <c r="CR1" i="13" s="1"/>
  <c r="CS1" i="13" s="1"/>
  <c r="CT1" i="13" s="1"/>
  <c r="CU1" i="13" s="1"/>
  <c r="CV1" i="13" s="1"/>
  <c r="CW1" i="13" s="1"/>
  <c r="CX1" i="13" s="1"/>
  <c r="CY1" i="13" s="1"/>
  <c r="CZ1" i="13" s="1"/>
  <c r="DA1" i="13" s="1"/>
  <c r="DB1" i="13" s="1"/>
  <c r="DC1" i="13" s="1"/>
  <c r="DD1" i="13" s="1"/>
  <c r="DE1" i="13" s="1"/>
  <c r="DF1" i="13" s="1"/>
  <c r="DG1" i="13" s="1"/>
  <c r="DH1" i="13" s="1"/>
  <c r="DI1" i="13" s="1"/>
  <c r="DJ1" i="13" s="1"/>
  <c r="DK1" i="13" s="1"/>
  <c r="DL1" i="13" s="1"/>
  <c r="DM1" i="13" s="1"/>
  <c r="DN1" i="13" s="1"/>
  <c r="DO1" i="13" s="1"/>
  <c r="DP1" i="13" s="1"/>
  <c r="DQ1" i="13" s="1"/>
  <c r="DR1" i="13" s="1"/>
  <c r="DS1" i="13" s="1"/>
  <c r="DT1" i="13" s="1"/>
  <c r="DU1" i="13" s="1"/>
  <c r="DV1" i="13" s="1"/>
  <c r="DW1" i="13" s="1"/>
  <c r="DX1" i="13" s="1"/>
  <c r="DY1" i="13" s="1"/>
  <c r="DZ1" i="13" s="1"/>
  <c r="EA1" i="13" s="1"/>
  <c r="EB1" i="13" s="1"/>
  <c r="EC1" i="13" s="1"/>
  <c r="ED1" i="13" s="1"/>
  <c r="EE1" i="13" s="1"/>
  <c r="EF1" i="13" s="1"/>
  <c r="EG1" i="13" s="1"/>
  <c r="EH1" i="13" s="1"/>
  <c r="EI1" i="13" s="1"/>
  <c r="EJ1" i="13" s="1"/>
  <c r="EK1" i="13" s="1"/>
  <c r="EL1" i="13" s="1"/>
  <c r="EM1" i="13" s="1"/>
  <c r="EN1" i="13" s="1"/>
  <c r="EO1" i="13" s="1"/>
  <c r="EP1" i="13" s="1"/>
  <c r="EQ1" i="13" s="1"/>
  <c r="ER1" i="13" s="1"/>
  <c r="ES1" i="13" s="1"/>
  <c r="ET1" i="13" s="1"/>
  <c r="EU1" i="13" s="1"/>
  <c r="EV1" i="13" s="1"/>
  <c r="EW1" i="13" s="1"/>
  <c r="EX1" i="13" s="1"/>
  <c r="EY1" i="13" s="1"/>
  <c r="EZ1" i="13" s="1"/>
  <c r="FA1" i="13" s="1"/>
  <c r="FB1" i="13" s="1"/>
  <c r="FC1" i="13" s="1"/>
  <c r="FD1" i="13" s="1"/>
  <c r="FE1" i="13" s="1"/>
  <c r="FF1" i="13" s="1"/>
  <c r="FG1" i="13" s="1"/>
  <c r="FH1" i="13" s="1"/>
  <c r="FI1" i="13" s="1"/>
  <c r="FJ1" i="13" s="1"/>
  <c r="FK1" i="13" s="1"/>
  <c r="FL1" i="13" s="1"/>
  <c r="FM1" i="13" s="1"/>
  <c r="FN1" i="13" s="1"/>
  <c r="FO1" i="13" s="1"/>
  <c r="FP1" i="13" s="1"/>
  <c r="FQ1" i="13" s="1"/>
  <c r="FR1" i="13" s="1"/>
  <c r="FS1" i="13" s="1"/>
  <c r="FT1" i="13" s="1"/>
  <c r="FU1" i="13" s="1"/>
  <c r="FV1" i="13" s="1"/>
  <c r="FW1" i="13" s="1"/>
  <c r="FX1" i="13" s="1"/>
  <c r="FY1" i="13" s="1"/>
  <c r="GA1" i="13" s="1"/>
  <c r="GB1" i="13" s="1"/>
  <c r="GC1" i="13" s="1"/>
  <c r="GD1" i="13" s="1"/>
  <c r="GE1" i="13" s="1"/>
  <c r="GF1" i="13" s="1"/>
  <c r="GG1" i="13" s="1"/>
  <c r="GH1" i="13" s="1"/>
  <c r="GI1" i="13" s="1"/>
  <c r="GJ1" i="13" s="1"/>
  <c r="GK1" i="13" s="1"/>
  <c r="GL1" i="13" s="1"/>
  <c r="GM1" i="13" s="1"/>
  <c r="GN1" i="13" s="1"/>
  <c r="GO1" i="13" s="1"/>
  <c r="GP1" i="13" s="1"/>
  <c r="GQ1" i="13" s="1"/>
  <c r="GR1" i="13" s="1"/>
  <c r="GS1" i="13" s="1"/>
  <c r="GT1" i="13" s="1"/>
  <c r="GU1" i="13" s="1"/>
  <c r="GV1" i="13" s="1"/>
  <c r="GW1" i="13" s="1"/>
  <c r="GX1" i="13" s="1"/>
  <c r="GY1" i="13" s="1"/>
  <c r="GZ1" i="13" s="1"/>
  <c r="HA1" i="13" s="1"/>
  <c r="HB1" i="13" s="1"/>
  <c r="HC1" i="13" s="1"/>
  <c r="HD1" i="13" s="1"/>
  <c r="HE1" i="13" s="1"/>
  <c r="HF1" i="13" s="1"/>
  <c r="HG1" i="13" s="1"/>
  <c r="HH1" i="13" s="1"/>
  <c r="HI1" i="13" s="1"/>
  <c r="HJ1" i="13" s="1"/>
  <c r="HK1" i="13" s="1"/>
  <c r="HL1" i="13" s="1"/>
  <c r="HM1" i="13" s="1"/>
  <c r="HN1" i="13" s="1"/>
  <c r="HO1" i="13" s="1"/>
  <c r="HP1" i="13" s="1"/>
  <c r="HQ1" i="13" s="1"/>
  <c r="HR1" i="13" s="1"/>
  <c r="HS1" i="13" s="1"/>
  <c r="HT1" i="13" s="1"/>
  <c r="HU1" i="13" s="1"/>
  <c r="HV1" i="13" s="1"/>
  <c r="HW1" i="13" s="1"/>
  <c r="HX1" i="13" s="1"/>
  <c r="HY1" i="13" s="1"/>
  <c r="B5" i="13"/>
  <c r="AC329" i="12"/>
  <c r="AC259" i="12"/>
  <c r="AC200" i="12"/>
  <c r="AC123" i="12"/>
  <c r="AC56" i="12"/>
  <c r="AF332" i="12"/>
  <c r="AF262" i="12"/>
  <c r="AF203" i="12"/>
  <c r="AF126" i="12"/>
  <c r="AF59" i="12"/>
  <c r="G59" i="12"/>
  <c r="B330" i="12"/>
  <c r="B329" i="12"/>
  <c r="B260" i="12"/>
  <c r="B259" i="12"/>
  <c r="B201" i="12"/>
  <c r="B200" i="12"/>
  <c r="B124" i="12"/>
  <c r="B123" i="12"/>
  <c r="B57" i="12"/>
  <c r="B56" i="12"/>
  <c r="HY5" i="13"/>
  <c r="HX5" i="13"/>
  <c r="HW5" i="13"/>
  <c r="HV5" i="13"/>
  <c r="HU5" i="13"/>
  <c r="HT5" i="13"/>
  <c r="HS5" i="13"/>
  <c r="HR5" i="13"/>
  <c r="HQ5" i="13"/>
  <c r="HP5" i="13"/>
  <c r="HO5" i="13"/>
  <c r="HN5" i="13"/>
  <c r="HM5" i="13"/>
  <c r="HL5" i="13"/>
  <c r="HK5" i="13"/>
  <c r="HJ5" i="13"/>
  <c r="HI5" i="13"/>
  <c r="HH5" i="13"/>
  <c r="HG5" i="13"/>
  <c r="HF5" i="13"/>
  <c r="HE5" i="13"/>
  <c r="HD5" i="13"/>
  <c r="HC5" i="13"/>
  <c r="HB5" i="13"/>
  <c r="HA5" i="13"/>
  <c r="GZ5" i="13"/>
  <c r="GY5" i="13"/>
  <c r="GX5" i="13"/>
  <c r="GW5" i="13"/>
  <c r="GV5" i="13"/>
  <c r="GU5" i="13"/>
  <c r="GT5" i="13"/>
  <c r="GS5" i="13"/>
  <c r="GR5" i="13"/>
  <c r="GQ5" i="13"/>
  <c r="GP5" i="13"/>
  <c r="GO5" i="13"/>
  <c r="GN5" i="13"/>
  <c r="GM5" i="13"/>
  <c r="GL5" i="13"/>
  <c r="GK5" i="13"/>
  <c r="GJ5" i="13"/>
  <c r="GI5" i="13"/>
  <c r="GH5" i="13"/>
  <c r="GG5" i="13"/>
  <c r="GF5" i="13"/>
  <c r="GE5" i="13"/>
  <c r="GD5" i="13"/>
  <c r="GC5" i="13"/>
  <c r="GB5" i="13"/>
  <c r="GA5" i="13"/>
  <c r="FX5" i="13"/>
  <c r="FW5" i="13"/>
  <c r="FV5" i="13"/>
  <c r="FU5" i="13"/>
  <c r="FT5" i="13"/>
  <c r="FS5" i="13"/>
  <c r="FR5" i="13"/>
  <c r="FQ5" i="13"/>
  <c r="FP5" i="13"/>
  <c r="FO5" i="13"/>
  <c r="FN5" i="13"/>
  <c r="FM5" i="13"/>
  <c r="FL5" i="13"/>
  <c r="FK5" i="13"/>
  <c r="FJ5" i="13"/>
  <c r="FI5" i="13"/>
  <c r="FH5" i="13"/>
  <c r="FG5" i="13"/>
  <c r="FF5" i="13"/>
  <c r="FE5" i="13"/>
  <c r="FD5" i="13"/>
  <c r="FC5" i="13"/>
  <c r="FB5" i="13"/>
  <c r="FA5" i="13"/>
  <c r="EZ5" i="13"/>
  <c r="EY5" i="13"/>
  <c r="EX5" i="13"/>
  <c r="EW5" i="13"/>
  <c r="EV5" i="13"/>
  <c r="EU5" i="13"/>
  <c r="ET5" i="13"/>
  <c r="ES5" i="13"/>
  <c r="ER5" i="13"/>
  <c r="EQ5" i="13"/>
  <c r="EP5" i="13"/>
  <c r="EO5" i="13"/>
  <c r="EN5" i="13"/>
  <c r="EM5" i="13"/>
  <c r="EL5" i="13"/>
  <c r="EK5" i="13"/>
  <c r="EJ5" i="13"/>
  <c r="EI5" i="13"/>
  <c r="EH5" i="13"/>
  <c r="EG5" i="13"/>
  <c r="EF5" i="13"/>
  <c r="EE5" i="13"/>
  <c r="ED5" i="13"/>
  <c r="EC5" i="13"/>
  <c r="EB5" i="13"/>
  <c r="EA5" i="13"/>
  <c r="DZ5" i="13"/>
  <c r="DY5" i="13"/>
  <c r="DX5" i="13"/>
  <c r="DW5" i="13"/>
  <c r="DV5" i="13"/>
  <c r="DU5" i="13"/>
  <c r="DT5" i="13"/>
  <c r="DS5" i="13"/>
  <c r="DR5" i="13"/>
  <c r="DQ5" i="13"/>
  <c r="DO5" i="13"/>
  <c r="DN5" i="13"/>
  <c r="DM5" i="13"/>
  <c r="DL5" i="13"/>
  <c r="DK5" i="13"/>
  <c r="DJ5" i="13"/>
  <c r="DI5" i="13"/>
  <c r="DH5" i="13"/>
  <c r="DG5" i="13"/>
  <c r="DF5" i="13"/>
  <c r="DE5" i="13"/>
  <c r="DD5" i="13"/>
  <c r="DC5" i="13"/>
  <c r="DB5" i="13"/>
  <c r="DA5" i="13"/>
  <c r="CZ5" i="13"/>
  <c r="CY5" i="13"/>
  <c r="CX5" i="13"/>
  <c r="CW5" i="13"/>
  <c r="CV5" i="13"/>
  <c r="CU5" i="13"/>
  <c r="CT5" i="13"/>
  <c r="CS5" i="13"/>
  <c r="CR5" i="13"/>
  <c r="CQ5" i="13"/>
  <c r="CP5" i="13"/>
  <c r="CO5" i="13"/>
  <c r="CN5" i="13"/>
  <c r="CM5" i="13"/>
  <c r="CL5" i="13"/>
  <c r="CK5" i="13"/>
  <c r="CJ5" i="13"/>
  <c r="CI5" i="13"/>
  <c r="CH5" i="13"/>
  <c r="CG5" i="13"/>
  <c r="CF5" i="13"/>
  <c r="CE5" i="13"/>
  <c r="CD5" i="13"/>
  <c r="CC5" i="13"/>
  <c r="CB5" i="13"/>
  <c r="CA5" i="13"/>
  <c r="BZ5" i="13"/>
  <c r="BY5" i="13"/>
  <c r="BX5" i="13"/>
  <c r="BW5" i="13"/>
  <c r="BV5" i="13"/>
  <c r="BU5" i="13"/>
  <c r="BT5" i="13"/>
  <c r="BS5" i="13"/>
  <c r="BR5" i="13"/>
  <c r="BQ5" i="13"/>
  <c r="BP5" i="13"/>
  <c r="BO5" i="13"/>
  <c r="BN5" i="13"/>
  <c r="BM5" i="13"/>
  <c r="BL5" i="13"/>
  <c r="BK5" i="13"/>
  <c r="BJ5" i="13"/>
  <c r="BI5" i="13"/>
  <c r="BH5" i="13"/>
  <c r="BG5" i="13"/>
  <c r="BF5" i="13"/>
  <c r="BE5" i="13"/>
  <c r="BD5" i="13"/>
  <c r="BC5" i="13"/>
  <c r="BB5" i="13"/>
  <c r="BA5" i="13"/>
  <c r="AZ5" i="13"/>
  <c r="AY5" i="13"/>
  <c r="AX5" i="13"/>
  <c r="AW5" i="13"/>
  <c r="AU5" i="13"/>
  <c r="AT5" i="13"/>
  <c r="AS5" i="13"/>
  <c r="AR5" i="13"/>
  <c r="AQ5" i="13"/>
  <c r="AO5" i="13"/>
  <c r="AN5" i="13"/>
  <c r="AM5" i="13"/>
  <c r="AL5" i="13"/>
  <c r="AK5" i="13"/>
  <c r="AI5" i="13"/>
  <c r="AH5" i="13"/>
  <c r="AG5" i="13"/>
  <c r="AF5" i="13"/>
  <c r="AE5" i="13"/>
  <c r="AD5" i="13"/>
  <c r="AC5" i="13"/>
  <c r="AB5" i="13"/>
  <c r="AA5" i="13"/>
  <c r="Z5" i="13"/>
  <c r="Y5" i="13"/>
  <c r="X5" i="13"/>
  <c r="W5" i="13"/>
  <c r="V5" i="13"/>
  <c r="U5" i="13"/>
  <c r="T5" i="13"/>
  <c r="S5" i="13"/>
  <c r="R5" i="13"/>
  <c r="Q5" i="13"/>
  <c r="P5" i="13"/>
  <c r="O5" i="13"/>
  <c r="N5" i="13"/>
  <c r="M5" i="13"/>
  <c r="L5" i="13"/>
  <c r="K5" i="13"/>
  <c r="J5" i="13"/>
  <c r="I5" i="13"/>
  <c r="H5" i="13"/>
  <c r="G5" i="13"/>
  <c r="F5" i="13"/>
  <c r="E5" i="13"/>
  <c r="R39" i="12"/>
  <c r="P39" i="12"/>
  <c r="M39" i="12"/>
  <c r="L39" i="12"/>
  <c r="K39" i="12"/>
  <c r="I39" i="12"/>
  <c r="F39" i="12"/>
  <c r="E39" i="12"/>
  <c r="R38" i="12"/>
  <c r="P38" i="12"/>
  <c r="M38" i="12"/>
  <c r="L38" i="12"/>
  <c r="K38" i="12"/>
  <c r="I38" i="12"/>
  <c r="F38" i="12"/>
  <c r="E38" i="12"/>
  <c r="R37" i="12"/>
  <c r="P37" i="12"/>
  <c r="M37" i="12"/>
  <c r="L37" i="12"/>
  <c r="K37" i="12"/>
  <c r="I37" i="12"/>
  <c r="F37" i="12"/>
  <c r="E37" i="12"/>
  <c r="R36" i="12"/>
  <c r="P36" i="12"/>
  <c r="M36" i="12"/>
  <c r="L36" i="12"/>
  <c r="K36" i="12"/>
  <c r="I36" i="12"/>
  <c r="F36" i="12"/>
  <c r="E36" i="12"/>
  <c r="R35" i="12"/>
  <c r="P35" i="12"/>
  <c r="M35" i="12"/>
  <c r="L35" i="12"/>
  <c r="K35" i="12"/>
  <c r="I35" i="12"/>
  <c r="F35" i="12"/>
  <c r="E35" i="12"/>
  <c r="R34" i="12"/>
  <c r="P34" i="12"/>
  <c r="M34" i="12"/>
  <c r="L34" i="12"/>
  <c r="K34" i="12"/>
  <c r="I34" i="12"/>
  <c r="F34" i="12"/>
  <c r="E34" i="12"/>
  <c r="G126" i="12"/>
  <c r="G203" i="12"/>
  <c r="G262" i="12"/>
  <c r="G332" i="12"/>
  <c r="B11" i="12"/>
  <c r="D5" i="13" l="1"/>
</calcChain>
</file>

<file path=xl/sharedStrings.xml><?xml version="1.0" encoding="utf-8"?>
<sst xmlns="http://schemas.openxmlformats.org/spreadsheetml/2006/main" count="713" uniqueCount="464">
  <si>
    <t>e-mail：kaitoku@jsps.go.jp</t>
    <phoneticPr fontId="5"/>
  </si>
  <si>
    <t>現在</t>
    <phoneticPr fontId="1"/>
  </si>
  <si>
    <t>日本学術振興会 海外特別研究員担当 宛</t>
    <rPh sb="8" eb="15">
      <t>カイトク</t>
    </rPh>
    <rPh sb="15" eb="17">
      <t>タントウ</t>
    </rPh>
    <rPh sb="18" eb="19">
      <t>アテ</t>
    </rPh>
    <phoneticPr fontId="5"/>
  </si>
  <si>
    <t>海外特別研究員の就職状況等について（調査票）</t>
  </si>
  <si>
    <t>①</t>
  </si>
  <si>
    <t>氏　　　名</t>
    <rPh sb="0" eb="1">
      <t>シ</t>
    </rPh>
    <rPh sb="4" eb="5">
      <t>メイ</t>
    </rPh>
    <phoneticPr fontId="1"/>
  </si>
  <si>
    <t>受 付 番 号</t>
    <phoneticPr fontId="1"/>
  </si>
  <si>
    <t>　　　　　　</t>
    <phoneticPr fontId="1"/>
  </si>
  <si>
    <t>（採用年度）</t>
    <phoneticPr fontId="1"/>
  </si>
  <si>
    <t>（受付番号）</t>
    <phoneticPr fontId="1"/>
  </si>
  <si>
    <t>令和</t>
    <phoneticPr fontId="1"/>
  </si>
  <si>
    <t>年度</t>
    <phoneticPr fontId="1"/>
  </si>
  <si>
    <t>ﾌ　ﾘ　ｶﾞ　ﾅ</t>
    <phoneticPr fontId="1"/>
  </si>
  <si>
    <t>生 年 月 日</t>
    <rPh sb="0" eb="1">
      <t>オイ</t>
    </rPh>
    <rPh sb="2" eb="3">
      <t>ネン</t>
    </rPh>
    <rPh sb="4" eb="5">
      <t>ガツ</t>
    </rPh>
    <rPh sb="6" eb="7">
      <t>ニチ</t>
    </rPh>
    <phoneticPr fontId="1"/>
  </si>
  <si>
    <t>連　絡　先</t>
    <rPh sb="0" eb="1">
      <t>レン</t>
    </rPh>
    <rPh sb="2" eb="3">
      <t>ラク</t>
    </rPh>
    <rPh sb="4" eb="5">
      <t>サキ</t>
    </rPh>
    <phoneticPr fontId="1"/>
  </si>
  <si>
    <t>〒</t>
    <phoneticPr fontId="1"/>
  </si>
  <si>
    <t>：</t>
    <phoneticPr fontId="5"/>
  </si>
  <si>
    <t>住所</t>
    <rPh sb="0" eb="2">
      <t>ジュウショ</t>
    </rPh>
    <phoneticPr fontId="5"/>
  </si>
  <si>
    <t>電話</t>
    <rPh sb="0" eb="2">
      <t>デンワ</t>
    </rPh>
    <phoneticPr fontId="5"/>
  </si>
  <si>
    <t>メールアドレス</t>
    <phoneticPr fontId="5"/>
  </si>
  <si>
    <t>海外特別研究員申請時から現在までの職歴（略歴）を、以下にご記入願います。</t>
    <rPh sb="0" eb="7">
      <t>カイトク</t>
    </rPh>
    <rPh sb="7" eb="9">
      <t>シンセイ</t>
    </rPh>
    <rPh sb="9" eb="10">
      <t>ジ</t>
    </rPh>
    <rPh sb="12" eb="14">
      <t>ゲンザイ</t>
    </rPh>
    <rPh sb="17" eb="19">
      <t>ショクレキ</t>
    </rPh>
    <rPh sb="20" eb="22">
      <t>リャクレキ</t>
    </rPh>
    <rPh sb="25" eb="27">
      <t>イカ</t>
    </rPh>
    <rPh sb="29" eb="31">
      <t>キニュウ</t>
    </rPh>
    <rPh sb="31" eb="32">
      <t>ネガ</t>
    </rPh>
    <phoneticPr fontId="1"/>
  </si>
  <si>
    <t>職歴・略歴等</t>
    <rPh sb="0" eb="2">
      <t>ショクレキ</t>
    </rPh>
    <rPh sb="3" eb="6">
      <t>リャクレキトウ</t>
    </rPh>
    <phoneticPr fontId="1"/>
  </si>
  <si>
    <t>(資格Ⅰ・Ⅱ)</t>
    <rPh sb="1" eb="3">
      <t>シカク</t>
    </rPh>
    <phoneticPr fontId="5"/>
  </si>
  <si>
    <t>(常勤・非常勤等の別)</t>
    <rPh sb="1" eb="3">
      <t>ジョウキン</t>
    </rPh>
    <rPh sb="4" eb="7">
      <t>ヒジョウキン</t>
    </rPh>
    <rPh sb="7" eb="8">
      <t>トウ</t>
    </rPh>
    <rPh sb="9" eb="10">
      <t>ベツ</t>
    </rPh>
    <phoneticPr fontId="5"/>
  </si>
  <si>
    <t>・</t>
    <phoneticPr fontId="1"/>
  </si>
  <si>
    <t>海外特別研究員申請時</t>
    <rPh sb="0" eb="7">
      <t>カイトク</t>
    </rPh>
    <rPh sb="7" eb="9">
      <t>シンセイ</t>
    </rPh>
    <rPh sb="9" eb="10">
      <t>ジ</t>
    </rPh>
    <phoneticPr fontId="1"/>
  </si>
  <si>
    <t>申請から派遣期間終了までの職歴</t>
    <rPh sb="0" eb="2">
      <t>シンセイ</t>
    </rPh>
    <rPh sb="4" eb="6">
      <t>ハケン</t>
    </rPh>
    <rPh sb="6" eb="8">
      <t>キカン</t>
    </rPh>
    <rPh sb="8" eb="10">
      <t>シュウリョウ</t>
    </rPh>
    <rPh sb="13" eb="14">
      <t>ショク</t>
    </rPh>
    <rPh sb="14" eb="15">
      <t>レキ</t>
    </rPh>
    <phoneticPr fontId="1"/>
  </si>
  <si>
    <t>※</t>
    <phoneticPr fontId="1"/>
  </si>
  <si>
    <t>職歴に変更があった場合のみ記入願います。資格（Ⅱ）で申請した有職者で、派遣開始前に職を辞した場合は、上段に辞職日を記入し、職名の後に「～（派遣開始前に辞職）」と付記願います。</t>
    <rPh sb="1" eb="2">
      <t>レキ</t>
    </rPh>
    <rPh sb="15" eb="16">
      <t>ネガ</t>
    </rPh>
    <rPh sb="26" eb="28">
      <t>シンセイ</t>
    </rPh>
    <rPh sb="30" eb="31">
      <t>ユウ</t>
    </rPh>
    <rPh sb="31" eb="32">
      <t>ショク</t>
    </rPh>
    <rPh sb="32" eb="33">
      <t>シャ</t>
    </rPh>
    <rPh sb="35" eb="37">
      <t>ハケン</t>
    </rPh>
    <rPh sb="37" eb="39">
      <t>カイシ</t>
    </rPh>
    <rPh sb="39" eb="40">
      <t>マエ</t>
    </rPh>
    <rPh sb="41" eb="42">
      <t>ショク</t>
    </rPh>
    <rPh sb="43" eb="44">
      <t>ジ</t>
    </rPh>
    <rPh sb="46" eb="48">
      <t>バアイ</t>
    </rPh>
    <rPh sb="50" eb="52">
      <t>ジョウダン</t>
    </rPh>
    <rPh sb="53" eb="55">
      <t>ジショク</t>
    </rPh>
    <rPh sb="55" eb="56">
      <t>ビ</t>
    </rPh>
    <rPh sb="57" eb="59">
      <t>キニュウ</t>
    </rPh>
    <rPh sb="61" eb="63">
      <t>ショクメイ</t>
    </rPh>
    <rPh sb="64" eb="65">
      <t>アト</t>
    </rPh>
    <rPh sb="69" eb="71">
      <t>ハケン</t>
    </rPh>
    <rPh sb="71" eb="73">
      <t>カイシ</t>
    </rPh>
    <rPh sb="73" eb="74">
      <t>マエ</t>
    </rPh>
    <rPh sb="75" eb="77">
      <t>ジショク</t>
    </rPh>
    <rPh sb="80" eb="82">
      <t>フキ</t>
    </rPh>
    <rPh sb="82" eb="83">
      <t>ネガ</t>
    </rPh>
    <phoneticPr fontId="1"/>
  </si>
  <si>
    <t>年</t>
    <rPh sb="0" eb="1">
      <t>ネン</t>
    </rPh>
    <phoneticPr fontId="1"/>
  </si>
  <si>
    <t>月</t>
    <rPh sb="0" eb="1">
      <t>ガツ</t>
    </rPh>
    <phoneticPr fontId="1"/>
  </si>
  <si>
    <t>～</t>
    <phoneticPr fontId="1"/>
  </si>
  <si>
    <t>派遣期間終了</t>
    <rPh sb="0" eb="2">
      <t>ハケン</t>
    </rPh>
    <rPh sb="2" eb="4">
      <t>キカン</t>
    </rPh>
    <phoneticPr fontId="1"/>
  </si>
  <si>
    <t>派遣期間終了後の職歴</t>
    <rPh sb="0" eb="2">
      <t>ハケン</t>
    </rPh>
    <rPh sb="2" eb="4">
      <t>キカン</t>
    </rPh>
    <rPh sb="4" eb="6">
      <t>シュウリョウ</t>
    </rPh>
    <rPh sb="6" eb="7">
      <t>ゴ</t>
    </rPh>
    <rPh sb="8" eb="9">
      <t>ショク</t>
    </rPh>
    <rPh sb="9" eb="10">
      <t>レキ</t>
    </rPh>
    <phoneticPr fontId="1"/>
  </si>
  <si>
    <t>1.</t>
    <phoneticPr fontId="1"/>
  </si>
  <si>
    <t>2.</t>
  </si>
  <si>
    <t>3.</t>
  </si>
  <si>
    <t>《入力・記入上の注意》</t>
    <rPh sb="1" eb="3">
      <t>ニュウリョク</t>
    </rPh>
    <rPh sb="4" eb="6">
      <t>キニュウ</t>
    </rPh>
    <rPh sb="6" eb="7">
      <t>ジョウ</t>
    </rPh>
    <rPh sb="8" eb="10">
      <t>チュウイ</t>
    </rPh>
    <phoneticPr fontId="5"/>
  </si>
  <si>
    <t>本務職のみを記入してください（兼務職の記入は不要です。）。</t>
    <rPh sb="0" eb="2">
      <t>ホンム</t>
    </rPh>
    <rPh sb="2" eb="3">
      <t>ショク</t>
    </rPh>
    <rPh sb="6" eb="8">
      <t>キニュウ</t>
    </rPh>
    <rPh sb="15" eb="17">
      <t>ケンム</t>
    </rPh>
    <rPh sb="17" eb="18">
      <t>ショク</t>
    </rPh>
    <rPh sb="19" eb="21">
      <t>キニュウ</t>
    </rPh>
    <rPh sb="22" eb="24">
      <t>フヨウ</t>
    </rPh>
    <phoneticPr fontId="1"/>
  </si>
  <si>
    <t>同時期に非常勤職等複数の職に就いている場合には、主たる勤務先一箇所の職務を記入してください。</t>
    <rPh sb="0" eb="3">
      <t>ドウジキ</t>
    </rPh>
    <rPh sb="4" eb="5">
      <t>ヒ</t>
    </rPh>
    <rPh sb="5" eb="7">
      <t>ジョウキン</t>
    </rPh>
    <rPh sb="7" eb="9">
      <t>ショクトウ</t>
    </rPh>
    <rPh sb="9" eb="11">
      <t>フクスウ</t>
    </rPh>
    <rPh sb="12" eb="13">
      <t>ショク</t>
    </rPh>
    <rPh sb="14" eb="15">
      <t>ツ</t>
    </rPh>
    <rPh sb="19" eb="21">
      <t>バアイ</t>
    </rPh>
    <rPh sb="24" eb="25">
      <t>シュ</t>
    </rPh>
    <rPh sb="27" eb="30">
      <t>キンムサキ</t>
    </rPh>
    <rPh sb="30" eb="33">
      <t>イッカショ</t>
    </rPh>
    <rPh sb="34" eb="36">
      <t>ショクム</t>
    </rPh>
    <rPh sb="37" eb="39">
      <t>キニュウ</t>
    </rPh>
    <phoneticPr fontId="1"/>
  </si>
  <si>
    <t>申請時及び申請から派遣期間終了までの職歴については、資格欄についてもご回答ください。</t>
    <rPh sb="0" eb="2">
      <t>シンセイ</t>
    </rPh>
    <rPh sb="2" eb="3">
      <t>ジ</t>
    </rPh>
    <rPh sb="3" eb="4">
      <t>オヨ</t>
    </rPh>
    <rPh sb="5" eb="7">
      <t>シンセイ</t>
    </rPh>
    <rPh sb="9" eb="11">
      <t>ハケン</t>
    </rPh>
    <rPh sb="11" eb="13">
      <t>キカン</t>
    </rPh>
    <rPh sb="13" eb="15">
      <t>シュウリョウ</t>
    </rPh>
    <rPh sb="18" eb="20">
      <t>ショクレキ</t>
    </rPh>
    <rPh sb="26" eb="28">
      <t>シカク</t>
    </rPh>
    <rPh sb="28" eb="29">
      <t>ラン</t>
    </rPh>
    <rPh sb="35" eb="37">
      <t>カイトウ</t>
    </rPh>
    <phoneticPr fontId="1"/>
  </si>
  <si>
    <t>「常勤・非常勤等の別」の欄には、「任期無、任期付、非常勤」の中から該当するものをご回答ください。</t>
    <rPh sb="1" eb="3">
      <t>ジョウキン</t>
    </rPh>
    <rPh sb="4" eb="7">
      <t>ヒジョウキン</t>
    </rPh>
    <rPh sb="7" eb="8">
      <t>トウ</t>
    </rPh>
    <rPh sb="9" eb="10">
      <t>ベツ</t>
    </rPh>
    <rPh sb="12" eb="13">
      <t>ラン</t>
    </rPh>
    <rPh sb="17" eb="20">
      <t>ニンキナ</t>
    </rPh>
    <rPh sb="21" eb="23">
      <t>ニンキ</t>
    </rPh>
    <rPh sb="23" eb="24">
      <t>ツ</t>
    </rPh>
    <rPh sb="25" eb="28">
      <t>ヒジョウキン</t>
    </rPh>
    <rPh sb="30" eb="31">
      <t>ナカ</t>
    </rPh>
    <rPh sb="33" eb="35">
      <t>ガイトウ</t>
    </rPh>
    <rPh sb="41" eb="43">
      <t>カイトウ</t>
    </rPh>
    <phoneticPr fontId="1"/>
  </si>
  <si>
    <t>※</t>
    <phoneticPr fontId="5"/>
  </si>
  <si>
    <t>所属機関名の前に国名を記入してください。</t>
    <rPh sb="0" eb="2">
      <t>ショゾク</t>
    </rPh>
    <rPh sb="2" eb="5">
      <t>キカンメイ</t>
    </rPh>
    <rPh sb="6" eb="7">
      <t>マエ</t>
    </rPh>
    <rPh sb="8" eb="9">
      <t>クニ</t>
    </rPh>
    <rPh sb="9" eb="10">
      <t>メイ</t>
    </rPh>
    <rPh sb="11" eb="13">
      <t>キニュウ</t>
    </rPh>
    <phoneticPr fontId="5"/>
  </si>
  <si>
    <t>・記載例は下記のとおりです。</t>
    <rPh sb="1" eb="3">
      <t>キサイ</t>
    </rPh>
    <rPh sb="3" eb="4">
      <t>レイ</t>
    </rPh>
    <rPh sb="5" eb="7">
      <t>カキ</t>
    </rPh>
    <phoneticPr fontId="1"/>
  </si>
  <si>
    <t>米国・Guest Researcher, XXX Research Institute</t>
    <rPh sb="0" eb="2">
      <t>ベイコク</t>
    </rPh>
    <phoneticPr fontId="1"/>
  </si>
  <si>
    <t>（非常勤）</t>
    <phoneticPr fontId="5"/>
  </si>
  <si>
    <t>日本・○○大学工学部 助教</t>
    <rPh sb="0" eb="2">
      <t>ニホン</t>
    </rPh>
    <rPh sb="5" eb="7">
      <t>ダイガク</t>
    </rPh>
    <rPh sb="7" eb="10">
      <t>コウガクブ</t>
    </rPh>
    <rPh sb="11" eb="13">
      <t>ジョキョウ</t>
    </rPh>
    <phoneticPr fontId="1"/>
  </si>
  <si>
    <t>（任期付）</t>
    <phoneticPr fontId="5"/>
  </si>
  <si>
    <t>日本・○○大学大学院工学研究科 准教授（至現在）</t>
    <rPh sb="0" eb="2">
      <t>ニホン</t>
    </rPh>
    <rPh sb="5" eb="7">
      <t>ダイガク</t>
    </rPh>
    <rPh sb="7" eb="10">
      <t>ダイガクイン</t>
    </rPh>
    <rPh sb="10" eb="12">
      <t>コウガク</t>
    </rPh>
    <rPh sb="12" eb="15">
      <t>ケンキュウカ</t>
    </rPh>
    <rPh sb="16" eb="19">
      <t>ジュンキョウジュ</t>
    </rPh>
    <rPh sb="20" eb="21">
      <t>イタ</t>
    </rPh>
    <phoneticPr fontId="1"/>
  </si>
  <si>
    <t>（任期無）</t>
    <rPh sb="3" eb="4">
      <t>ナシ</t>
    </rPh>
    <phoneticPr fontId="5"/>
  </si>
  <si>
    <t>次ページに続きます。</t>
    <rPh sb="0" eb="1">
      <t>ツギ</t>
    </rPh>
    <rPh sb="5" eb="6">
      <t>ツヅ</t>
    </rPh>
    <phoneticPr fontId="1"/>
  </si>
  <si>
    <t>②</t>
  </si>
  <si>
    <t>海外特別研究員派遣終了後の職と、申請時、派遣開始時及び派遣期間中の身分・職等との関係について</t>
    <rPh sb="7" eb="9">
      <t>ハケン</t>
    </rPh>
    <rPh sb="16" eb="18">
      <t>シンセイ</t>
    </rPh>
    <rPh sb="18" eb="19">
      <t>ジ</t>
    </rPh>
    <rPh sb="20" eb="22">
      <t>ハケン</t>
    </rPh>
    <rPh sb="25" eb="26">
      <t>オヨ</t>
    </rPh>
    <rPh sb="27" eb="29">
      <t>ハケン</t>
    </rPh>
    <rPh sb="29" eb="32">
      <t>キカンチュウ</t>
    </rPh>
    <phoneticPr fontId="1"/>
  </si>
  <si>
    <t>以下の問にご回答ください。</t>
    <rPh sb="3" eb="4">
      <t>ト</t>
    </rPh>
    <phoneticPr fontId="1"/>
  </si>
  <si>
    <t>Ａ：</t>
    <phoneticPr fontId="1"/>
  </si>
  <si>
    <t>海外特別研究員申請時点での身分・資格につき、該当するものを選択して下さい。</t>
    <phoneticPr fontId="1"/>
  </si>
  <si>
    <t>①</t>
    <phoneticPr fontId="1"/>
  </si>
  <si>
    <t>申請時は「資格(Ⅰ)：国内所属有(任期無)」で、派遣中もその職に留任(資格(Ⅰ)のまま)。</t>
    <rPh sb="0" eb="2">
      <t>シンセイ</t>
    </rPh>
    <rPh sb="2" eb="3">
      <t>ジ</t>
    </rPh>
    <rPh sb="5" eb="7">
      <t>シカク</t>
    </rPh>
    <rPh sb="11" eb="13">
      <t>コクナイ</t>
    </rPh>
    <rPh sb="13" eb="15">
      <t>ショゾク</t>
    </rPh>
    <rPh sb="15" eb="16">
      <t>ア</t>
    </rPh>
    <rPh sb="17" eb="19">
      <t>ニンキ</t>
    </rPh>
    <rPh sb="19" eb="20">
      <t>ム</t>
    </rPh>
    <rPh sb="30" eb="31">
      <t>ショク</t>
    </rPh>
    <rPh sb="32" eb="34">
      <t>リュウニン</t>
    </rPh>
    <rPh sb="35" eb="37">
      <t>シカク</t>
    </rPh>
    <phoneticPr fontId="1"/>
  </si>
  <si>
    <t>②</t>
    <phoneticPr fontId="1"/>
  </si>
  <si>
    <t>申請時は「資格(Ⅰ)：国内所属有(任期付)」で、派遣中もその職に留任(資格(Ⅰ)のまま)。</t>
    <rPh sb="0" eb="2">
      <t>シンセイ</t>
    </rPh>
    <rPh sb="2" eb="3">
      <t>ジ</t>
    </rPh>
    <rPh sb="5" eb="7">
      <t>シカク</t>
    </rPh>
    <rPh sb="11" eb="13">
      <t>コクナイ</t>
    </rPh>
    <rPh sb="13" eb="15">
      <t>ショゾク</t>
    </rPh>
    <rPh sb="15" eb="16">
      <t>ア</t>
    </rPh>
    <rPh sb="17" eb="19">
      <t>ニンキ</t>
    </rPh>
    <rPh sb="19" eb="20">
      <t>ツ</t>
    </rPh>
    <rPh sb="30" eb="31">
      <t>ショク</t>
    </rPh>
    <rPh sb="32" eb="34">
      <t>リュウニン</t>
    </rPh>
    <phoneticPr fontId="1"/>
  </si>
  <si>
    <t>③</t>
    <phoneticPr fontId="1"/>
  </si>
  <si>
    <t>申請時は「資格(Ⅰ)：国内所属有(任期無)」だったが、派遣前又は派遣中に辞職。</t>
    <rPh sb="0" eb="2">
      <t>シンセイ</t>
    </rPh>
    <rPh sb="2" eb="3">
      <t>ジ</t>
    </rPh>
    <rPh sb="5" eb="7">
      <t>シカク</t>
    </rPh>
    <rPh sb="11" eb="13">
      <t>コクナイ</t>
    </rPh>
    <rPh sb="13" eb="15">
      <t>ショゾク</t>
    </rPh>
    <rPh sb="15" eb="16">
      <t>ア</t>
    </rPh>
    <rPh sb="17" eb="19">
      <t>ニンキ</t>
    </rPh>
    <rPh sb="19" eb="20">
      <t>ム</t>
    </rPh>
    <rPh sb="29" eb="30">
      <t>マエ</t>
    </rPh>
    <rPh sb="30" eb="31">
      <t>マタ</t>
    </rPh>
    <rPh sb="36" eb="38">
      <t>ジショク</t>
    </rPh>
    <phoneticPr fontId="1"/>
  </si>
  <si>
    <t>④</t>
    <phoneticPr fontId="1"/>
  </si>
  <si>
    <t>申請時は「資格(Ⅰ)：国内所属有(任期付)」だったが、派遣前又は派遣中に辞職。</t>
    <rPh sb="0" eb="2">
      <t>シンセイ</t>
    </rPh>
    <rPh sb="2" eb="3">
      <t>ジ</t>
    </rPh>
    <rPh sb="5" eb="7">
      <t>シカク</t>
    </rPh>
    <rPh sb="11" eb="16">
      <t>コクナイショゾクア</t>
    </rPh>
    <rPh sb="29" eb="30">
      <t>マエ</t>
    </rPh>
    <rPh sb="30" eb="31">
      <t>マタ</t>
    </rPh>
    <rPh sb="36" eb="38">
      <t>ジショク</t>
    </rPh>
    <phoneticPr fontId="1"/>
  </si>
  <si>
    <t>⑤</t>
    <phoneticPr fontId="1"/>
  </si>
  <si>
    <t>申請時は「資格(Ⅰ)：国内所属有(任期付)」だったが、派遣前又は派遣中に任期満了。</t>
    <rPh sb="0" eb="2">
      <t>シンセイ</t>
    </rPh>
    <rPh sb="2" eb="3">
      <t>ジ</t>
    </rPh>
    <rPh sb="5" eb="7">
      <t>シカク</t>
    </rPh>
    <rPh sb="11" eb="13">
      <t>コクナイ</t>
    </rPh>
    <rPh sb="13" eb="15">
      <t>ショゾク</t>
    </rPh>
    <rPh sb="15" eb="16">
      <t>ア</t>
    </rPh>
    <rPh sb="29" eb="30">
      <t>マエ</t>
    </rPh>
    <rPh sb="30" eb="31">
      <t>マタ</t>
    </rPh>
    <rPh sb="36" eb="38">
      <t>ニンキ</t>
    </rPh>
    <rPh sb="38" eb="40">
      <t>マンリョウ</t>
    </rPh>
    <phoneticPr fontId="1"/>
  </si>
  <si>
    <t>⑥</t>
    <phoneticPr fontId="1"/>
  </si>
  <si>
    <t>資格(Ⅱ)：我が国の大学等学術研究機関に所属する研究者を志望する者</t>
    <rPh sb="0" eb="2">
      <t>シカク</t>
    </rPh>
    <rPh sb="6" eb="7">
      <t>ワ</t>
    </rPh>
    <rPh sb="8" eb="9">
      <t>クニ</t>
    </rPh>
    <rPh sb="10" eb="13">
      <t>ダイガクトウ</t>
    </rPh>
    <rPh sb="13" eb="15">
      <t>ガクジュツ</t>
    </rPh>
    <rPh sb="15" eb="17">
      <t>ケンキュウ</t>
    </rPh>
    <rPh sb="17" eb="19">
      <t>キカン</t>
    </rPh>
    <rPh sb="20" eb="22">
      <t>ショゾク</t>
    </rPh>
    <rPh sb="24" eb="27">
      <t>ケンキュウシャ</t>
    </rPh>
    <rPh sb="28" eb="30">
      <t>シボウ</t>
    </rPh>
    <rPh sb="32" eb="33">
      <t>モノ</t>
    </rPh>
    <phoneticPr fontId="1"/>
  </si>
  <si>
    <t>Ｂ：</t>
    <phoneticPr fontId="1"/>
  </si>
  <si>
    <t>Ａで①・②の「申請時の職に留任(資格(Ⅰ)のまま)」と回答された方にお尋ねします。</t>
    <rPh sb="7" eb="9">
      <t>シンセイ</t>
    </rPh>
    <rPh sb="9" eb="10">
      <t>ジ</t>
    </rPh>
    <rPh sb="11" eb="12">
      <t>ショク</t>
    </rPh>
    <rPh sb="13" eb="15">
      <t>リュウニン</t>
    </rPh>
    <rPh sb="27" eb="29">
      <t>カイトウ</t>
    </rPh>
    <rPh sb="32" eb="33">
      <t>カタ</t>
    </rPh>
    <rPh sb="35" eb="36">
      <t>タズ</t>
    </rPh>
    <phoneticPr fontId="1"/>
  </si>
  <si>
    <t>Ｂ－１：</t>
    <phoneticPr fontId="5"/>
  </si>
  <si>
    <t>日本での所属機関では、どのような手続きにより派遣を開始されたかにつき以下にご回答ください。</t>
    <rPh sb="0" eb="2">
      <t>ニホン</t>
    </rPh>
    <rPh sb="4" eb="6">
      <t>ショゾク</t>
    </rPh>
    <rPh sb="6" eb="8">
      <t>キカン</t>
    </rPh>
    <rPh sb="16" eb="18">
      <t>テツヅ</t>
    </rPh>
    <rPh sb="22" eb="24">
      <t>ハケン</t>
    </rPh>
    <rPh sb="25" eb="27">
      <t>カイシ</t>
    </rPh>
    <rPh sb="34" eb="36">
      <t>イカ</t>
    </rPh>
    <rPh sb="38" eb="40">
      <t>カイトウ</t>
    </rPh>
    <phoneticPr fontId="1"/>
  </si>
  <si>
    <t>※派遣期間中の給与の有無及び機関のサバティカル制度利用の有無を併せてご回答願います。</t>
    <rPh sb="1" eb="3">
      <t>ハケン</t>
    </rPh>
    <rPh sb="3" eb="5">
      <t>キカン</t>
    </rPh>
    <rPh sb="5" eb="6">
      <t>チュウ</t>
    </rPh>
    <rPh sb="7" eb="9">
      <t>キュウヨ</t>
    </rPh>
    <rPh sb="10" eb="12">
      <t>ウム</t>
    </rPh>
    <rPh sb="12" eb="13">
      <t>オヨ</t>
    </rPh>
    <rPh sb="28" eb="30">
      <t>ウム</t>
    </rPh>
    <rPh sb="31" eb="32">
      <t>アワ</t>
    </rPh>
    <rPh sb="35" eb="37">
      <t>カイトウ</t>
    </rPh>
    <rPh sb="37" eb="38">
      <t>ネガ</t>
    </rPh>
    <phoneticPr fontId="1"/>
  </si>
  <si>
    <t>休職</t>
    <rPh sb="0" eb="2">
      <t>キュウショク</t>
    </rPh>
    <phoneticPr fontId="1"/>
  </si>
  <si>
    <t>出張</t>
    <rPh sb="0" eb="2">
      <t>シュッチョウ</t>
    </rPh>
    <phoneticPr fontId="1"/>
  </si>
  <si>
    <t>留学・研修</t>
    <rPh sb="0" eb="2">
      <t>リュウガク</t>
    </rPh>
    <rPh sb="3" eb="5">
      <t>ケンシュウ</t>
    </rPh>
    <phoneticPr fontId="1"/>
  </si>
  <si>
    <t>その他</t>
    <rPh sb="2" eb="3">
      <t>タ</t>
    </rPh>
    <phoneticPr fontId="1"/>
  </si>
  <si>
    <t>（</t>
    <phoneticPr fontId="1"/>
  </si>
  <si>
    <t>）</t>
    <phoneticPr fontId="1"/>
  </si>
  <si>
    <t>有給</t>
    <rPh sb="0" eb="2">
      <t>ユウキュウ</t>
    </rPh>
    <phoneticPr fontId="1"/>
  </si>
  <si>
    <t>（有給の場合、当該欄を選択）</t>
    <rPh sb="1" eb="3">
      <t>ユウキュウ</t>
    </rPh>
    <rPh sb="4" eb="6">
      <t>バアイ</t>
    </rPh>
    <rPh sb="7" eb="9">
      <t>トウガイ</t>
    </rPh>
    <rPh sb="9" eb="10">
      <t>ラン</t>
    </rPh>
    <rPh sb="11" eb="13">
      <t>センタク</t>
    </rPh>
    <phoneticPr fontId="5"/>
  </si>
  <si>
    <t>サバティカル制度を利用</t>
    <rPh sb="6" eb="8">
      <t>セイド</t>
    </rPh>
    <rPh sb="9" eb="11">
      <t>リヨウ</t>
    </rPh>
    <phoneticPr fontId="1"/>
  </si>
  <si>
    <t>（サバティカル制度利用の場合、当該欄を選択）</t>
    <rPh sb="7" eb="9">
      <t>セイド</t>
    </rPh>
    <rPh sb="9" eb="11">
      <t>リヨウ</t>
    </rPh>
    <rPh sb="12" eb="14">
      <t>バアイ</t>
    </rPh>
    <rPh sb="15" eb="17">
      <t>トウガイ</t>
    </rPh>
    <rPh sb="17" eb="18">
      <t>ラン</t>
    </rPh>
    <rPh sb="19" eb="21">
      <t>センタク</t>
    </rPh>
    <phoneticPr fontId="5"/>
  </si>
  <si>
    <t>Ｂ－２：</t>
    <phoneticPr fontId="5"/>
  </si>
  <si>
    <t>申請時点での職と、派遣終了後の職の関係につき、以下にご回答ください。</t>
    <rPh sb="0" eb="2">
      <t>シンセイ</t>
    </rPh>
    <rPh sb="2" eb="4">
      <t>ジテン</t>
    </rPh>
    <rPh sb="6" eb="7">
      <t>ショク</t>
    </rPh>
    <rPh sb="9" eb="11">
      <t>ハケン</t>
    </rPh>
    <rPh sb="11" eb="14">
      <t>シュウリョウゴ</t>
    </rPh>
    <rPh sb="15" eb="16">
      <t>ショク</t>
    </rPh>
    <rPh sb="17" eb="19">
      <t>カンケイ</t>
    </rPh>
    <rPh sb="23" eb="25">
      <t>イカ</t>
    </rPh>
    <rPh sb="27" eb="29">
      <t>カイトウ</t>
    </rPh>
    <phoneticPr fontId="1"/>
  </si>
  <si>
    <t>申請時の職のまま勤務を継続</t>
    <rPh sb="0" eb="2">
      <t>シンセイ</t>
    </rPh>
    <rPh sb="2" eb="3">
      <t>ジ</t>
    </rPh>
    <rPh sb="4" eb="5">
      <t>ショク</t>
    </rPh>
    <rPh sb="8" eb="10">
      <t>キンム</t>
    </rPh>
    <rPh sb="11" eb="13">
      <t>ケイゾク</t>
    </rPh>
    <phoneticPr fontId="1"/>
  </si>
  <si>
    <t>申請時の職を辞職し、別の職に就職</t>
    <rPh sb="0" eb="2">
      <t>シンセイ</t>
    </rPh>
    <rPh sb="2" eb="3">
      <t>ジ</t>
    </rPh>
    <rPh sb="4" eb="5">
      <t>ショク</t>
    </rPh>
    <rPh sb="6" eb="8">
      <t>ジショク</t>
    </rPh>
    <rPh sb="10" eb="11">
      <t>ベツ</t>
    </rPh>
    <rPh sb="12" eb="13">
      <t>ショク</t>
    </rPh>
    <rPh sb="14" eb="16">
      <t>シュウショク</t>
    </rPh>
    <phoneticPr fontId="1"/>
  </si>
  <si>
    <t>Ｃ：</t>
    <phoneticPr fontId="1"/>
  </si>
  <si>
    <t>Ａで③～⑤の「辞職」又は「任期満了」と回答された方にお尋ねします。</t>
    <rPh sb="10" eb="11">
      <t>マタ</t>
    </rPh>
    <rPh sb="13" eb="15">
      <t>ニンキ</t>
    </rPh>
    <rPh sb="15" eb="17">
      <t>マンリョウ</t>
    </rPh>
    <phoneticPr fontId="5"/>
  </si>
  <si>
    <t>Ｃ－１：</t>
    <phoneticPr fontId="5"/>
  </si>
  <si>
    <t>辞職(資格変更(Ⅰ)⇒(Ⅱ))された時期につき、以下にご回答ください。</t>
    <rPh sb="0" eb="2">
      <t>ジショク</t>
    </rPh>
    <rPh sb="3" eb="5">
      <t>シカク</t>
    </rPh>
    <rPh sb="5" eb="7">
      <t>ヘンコウ</t>
    </rPh>
    <rPh sb="18" eb="20">
      <t>ジキ</t>
    </rPh>
    <rPh sb="24" eb="26">
      <t>イカ</t>
    </rPh>
    <rPh sb="28" eb="30">
      <t>カイトウ</t>
    </rPh>
    <phoneticPr fontId="1"/>
  </si>
  <si>
    <t>申請後から派遣開始前までの期間（但し②を除く）</t>
    <rPh sb="0" eb="2">
      <t>シンセイ</t>
    </rPh>
    <rPh sb="2" eb="3">
      <t>ゴ</t>
    </rPh>
    <rPh sb="7" eb="9">
      <t>カイシ</t>
    </rPh>
    <rPh sb="9" eb="10">
      <t>マエ</t>
    </rPh>
    <rPh sb="13" eb="15">
      <t>キカン</t>
    </rPh>
    <rPh sb="16" eb="17">
      <t>タダ</t>
    </rPh>
    <rPh sb="20" eb="21">
      <t>ノゾ</t>
    </rPh>
    <phoneticPr fontId="1"/>
  </si>
  <si>
    <t>派遣開始時点・派遣開始に伴い</t>
    <rPh sb="2" eb="4">
      <t>カイシ</t>
    </rPh>
    <rPh sb="4" eb="6">
      <t>ジテン</t>
    </rPh>
    <rPh sb="9" eb="11">
      <t>カイシ</t>
    </rPh>
    <rPh sb="12" eb="13">
      <t>トモナ</t>
    </rPh>
    <phoneticPr fontId="1"/>
  </si>
  <si>
    <t>派遣期間中</t>
    <rPh sb="2" eb="5">
      <t>キカンチュウ</t>
    </rPh>
    <phoneticPr fontId="1"/>
  </si>
  <si>
    <t>⇒</t>
    <phoneticPr fontId="5"/>
  </si>
  <si>
    <t>Ｃ－２をご回答下さい</t>
    <rPh sb="5" eb="7">
      <t>カイトウ</t>
    </rPh>
    <rPh sb="7" eb="8">
      <t>クダ</t>
    </rPh>
    <phoneticPr fontId="5"/>
  </si>
  <si>
    <t>Ｃ－２：</t>
    <phoneticPr fontId="5"/>
  </si>
  <si>
    <t>Ｃ－１で③「派遣期間中（に辞職・任期満了）」と回答された方にお尋ねします。</t>
    <rPh sb="6" eb="8">
      <t>ハケン</t>
    </rPh>
    <rPh sb="8" eb="11">
      <t>キカンチュウ</t>
    </rPh>
    <rPh sb="13" eb="15">
      <t>ジショク</t>
    </rPh>
    <rPh sb="16" eb="18">
      <t>ニンキ</t>
    </rPh>
    <rPh sb="18" eb="20">
      <t>マンリョウ</t>
    </rPh>
    <rPh sb="23" eb="25">
      <t>カイトウ</t>
    </rPh>
    <rPh sb="28" eb="29">
      <t>カタ</t>
    </rPh>
    <rPh sb="31" eb="32">
      <t>タズ</t>
    </rPh>
    <phoneticPr fontId="5"/>
  </si>
  <si>
    <t>日本での所属機関では、どのような手続きにより派遣を開始されたかにつき以下にご回答ください。</t>
    <phoneticPr fontId="5"/>
  </si>
  <si>
    <t>Ｃ－３：</t>
    <phoneticPr fontId="5"/>
  </si>
  <si>
    <t>辞職された職と、派遣終了後の職の関係につき、以下にご回答ください。</t>
    <rPh sb="0" eb="2">
      <t>ジショク</t>
    </rPh>
    <rPh sb="5" eb="6">
      <t>ショク</t>
    </rPh>
    <rPh sb="10" eb="13">
      <t>シュウリョウゴ</t>
    </rPh>
    <rPh sb="14" eb="15">
      <t>ショク</t>
    </rPh>
    <rPh sb="16" eb="18">
      <t>カンケイ</t>
    </rPh>
    <rPh sb="22" eb="24">
      <t>イカ</t>
    </rPh>
    <rPh sb="26" eb="28">
      <t>カイトウ</t>
    </rPh>
    <phoneticPr fontId="1"/>
  </si>
  <si>
    <t>前職に復帰・再雇用</t>
    <rPh sb="0" eb="2">
      <t>ゼンショク</t>
    </rPh>
    <rPh sb="3" eb="5">
      <t>フッキ</t>
    </rPh>
    <rPh sb="6" eb="9">
      <t>サイコヨウ</t>
    </rPh>
    <phoneticPr fontId="1"/>
  </si>
  <si>
    <t>前職とは別の職に就職</t>
    <rPh sb="0" eb="2">
      <t>ゼンショク</t>
    </rPh>
    <rPh sb="4" eb="5">
      <t>ベツ</t>
    </rPh>
    <rPh sb="6" eb="7">
      <t>ショク</t>
    </rPh>
    <rPh sb="8" eb="10">
      <t>シュウショク</t>
    </rPh>
    <phoneticPr fontId="1"/>
  </si>
  <si>
    <t>派遣終了後は未就職</t>
    <rPh sb="2" eb="5">
      <t>シュウリョウゴ</t>
    </rPh>
    <rPh sb="6" eb="9">
      <t>ミシュウショク</t>
    </rPh>
    <phoneticPr fontId="1"/>
  </si>
  <si>
    <t>③</t>
  </si>
  <si>
    <t>問１）</t>
    <phoneticPr fontId="5"/>
  </si>
  <si>
    <t>現在のご職業について該当するものを選択して下さい。</t>
    <phoneticPr fontId="1"/>
  </si>
  <si>
    <t>その上で、以降の問２又は問３にご回答願います。</t>
    <rPh sb="5" eb="7">
      <t>イコウ</t>
    </rPh>
    <rPh sb="10" eb="11">
      <t>マタ</t>
    </rPh>
    <phoneticPr fontId="1"/>
  </si>
  <si>
    <t>研究職</t>
    <phoneticPr fontId="1"/>
  </si>
  <si>
    <t>→</t>
    <phoneticPr fontId="1"/>
  </si>
  <si>
    <r>
      <t>「問</t>
    </r>
    <r>
      <rPr>
        <b/>
        <sz val="12"/>
        <color indexed="8"/>
        <rFont val="ＭＳ ゴシック"/>
        <family val="3"/>
        <charset val="128"/>
      </rPr>
      <t>２</t>
    </r>
    <r>
      <rPr>
        <sz val="11"/>
        <color indexed="8"/>
        <rFont val="ＭＳ 明朝"/>
        <family val="1"/>
        <charset val="128"/>
      </rPr>
      <t>」</t>
    </r>
    <rPh sb="1" eb="2">
      <t>ト</t>
    </rPh>
    <phoneticPr fontId="1"/>
  </si>
  <si>
    <t>をご回答願います。</t>
    <phoneticPr fontId="1"/>
  </si>
  <si>
    <t>②　</t>
    <phoneticPr fontId="1"/>
  </si>
  <si>
    <t>非研究職等</t>
    <phoneticPr fontId="1"/>
  </si>
  <si>
    <t>（職務として研究を遂行しないもの）</t>
    <phoneticPr fontId="1"/>
  </si>
  <si>
    <r>
      <t>「問</t>
    </r>
    <r>
      <rPr>
        <b/>
        <sz val="12"/>
        <color indexed="8"/>
        <rFont val="ＭＳ ゴシック"/>
        <family val="3"/>
        <charset val="128"/>
      </rPr>
      <t>３</t>
    </r>
    <r>
      <rPr>
        <sz val="11"/>
        <color indexed="8"/>
        <rFont val="ＭＳ 明朝"/>
        <family val="1"/>
        <charset val="128"/>
      </rPr>
      <t>」</t>
    </r>
    <rPh sb="1" eb="2">
      <t>ト</t>
    </rPh>
    <phoneticPr fontId="1"/>
  </si>
  <si>
    <t>職務として研究を行うのではなく、機関等と雇用関係を結ばずにフリーで研究を行われる方は、
「②非研究職等」を選択の上、問３についてご回答願います。</t>
    <phoneticPr fontId="1"/>
  </si>
  <si>
    <t>※ 無職の方は「②非研究職等」を選択の上、問３についてご回答願います。</t>
    <rPh sb="2" eb="4">
      <t>ムショク</t>
    </rPh>
    <rPh sb="5" eb="6">
      <t>カタ</t>
    </rPh>
    <rPh sb="9" eb="10">
      <t>ヒ</t>
    </rPh>
    <rPh sb="10" eb="13">
      <t>ケンキュウショク</t>
    </rPh>
    <rPh sb="13" eb="14">
      <t>トウ</t>
    </rPh>
    <rPh sb="16" eb="18">
      <t>センタク</t>
    </rPh>
    <rPh sb="19" eb="20">
      <t>ウエ</t>
    </rPh>
    <rPh sb="21" eb="22">
      <t>トイ</t>
    </rPh>
    <rPh sb="28" eb="30">
      <t>カイトウ</t>
    </rPh>
    <rPh sb="30" eb="31">
      <t>ネガ</t>
    </rPh>
    <phoneticPr fontId="5"/>
  </si>
  <si>
    <t>問２）</t>
    <phoneticPr fontId="5"/>
  </si>
  <si>
    <t>問１で①を選択された、研究者の方にお尋ねします。</t>
    <phoneticPr fontId="1"/>
  </si>
  <si>
    <t>問２－１：勤務先名をご記入の上、該当する勤務先分類を選択してください。</t>
    <rPh sb="0" eb="1">
      <t>ト</t>
    </rPh>
    <rPh sb="5" eb="8">
      <t>キンムサキ</t>
    </rPh>
    <rPh sb="8" eb="9">
      <t>メイ</t>
    </rPh>
    <rPh sb="11" eb="13">
      <t>キニュウ</t>
    </rPh>
    <rPh sb="14" eb="15">
      <t>ウエ</t>
    </rPh>
    <rPh sb="16" eb="18">
      <t>ガイトウ</t>
    </rPh>
    <rPh sb="20" eb="23">
      <t>キンムサキ</t>
    </rPh>
    <rPh sb="23" eb="25">
      <t>ブンルイ</t>
    </rPh>
    <rPh sb="26" eb="28">
      <t>センタク</t>
    </rPh>
    <phoneticPr fontId="1"/>
  </si>
  <si>
    <t>勤務先名</t>
    <rPh sb="0" eb="3">
      <t>キンムサキ</t>
    </rPh>
    <rPh sb="3" eb="4">
      <t>メイ</t>
    </rPh>
    <phoneticPr fontId="1"/>
  </si>
  <si>
    <t>（機関名及び部局名・部署名）</t>
    <rPh sb="4" eb="5">
      <t>オヨ</t>
    </rPh>
    <phoneticPr fontId="1"/>
  </si>
  <si>
    <t>※本務先一箇所を記入願います</t>
    <rPh sb="1" eb="3">
      <t>ホンム</t>
    </rPh>
    <rPh sb="3" eb="4">
      <t>サキ</t>
    </rPh>
    <rPh sb="4" eb="7">
      <t>イッカショ</t>
    </rPh>
    <rPh sb="8" eb="10">
      <t>キニュウ</t>
    </rPh>
    <rPh sb="10" eb="11">
      <t>ネガ</t>
    </rPh>
    <phoneticPr fontId="1"/>
  </si>
  <si>
    <t>勤務先分類</t>
    <rPh sb="0" eb="3">
      <t>キンムサキ</t>
    </rPh>
    <rPh sb="3" eb="5">
      <t>ブンルイ</t>
    </rPh>
    <phoneticPr fontId="1"/>
  </si>
  <si>
    <t>※海外の場合は⑤、⑦、⑩のいずれかを選択してください</t>
    <rPh sb="1" eb="3">
      <t>カイガイ</t>
    </rPh>
    <rPh sb="4" eb="6">
      <t>バアイ</t>
    </rPh>
    <rPh sb="18" eb="20">
      <t>センタク</t>
    </rPh>
    <phoneticPr fontId="5"/>
  </si>
  <si>
    <t>① 国立大学法人</t>
    <rPh sb="2" eb="4">
      <t>コクリツ</t>
    </rPh>
    <rPh sb="4" eb="6">
      <t>ダイガク</t>
    </rPh>
    <rPh sb="6" eb="8">
      <t>ホウジン</t>
    </rPh>
    <phoneticPr fontId="1"/>
  </si>
  <si>
    <t>② 公立大学</t>
    <rPh sb="2" eb="4">
      <t>コウリツ</t>
    </rPh>
    <rPh sb="4" eb="6">
      <t>ダイガク</t>
    </rPh>
    <phoneticPr fontId="1"/>
  </si>
  <si>
    <t>③ 私立大学</t>
    <rPh sb="2" eb="4">
      <t>シリツ</t>
    </rPh>
    <rPh sb="4" eb="6">
      <t>ダイガク</t>
    </rPh>
    <phoneticPr fontId="1"/>
  </si>
  <si>
    <t>④ 高等専門学校</t>
    <rPh sb="2" eb="4">
      <t>コウトウ</t>
    </rPh>
    <rPh sb="4" eb="6">
      <t>センモン</t>
    </rPh>
    <rPh sb="6" eb="8">
      <t>ガッコウ</t>
    </rPh>
    <phoneticPr fontId="1"/>
  </si>
  <si>
    <t>⑤ 海外の大学</t>
    <rPh sb="2" eb="4">
      <t>カイガイ</t>
    </rPh>
    <rPh sb="5" eb="7">
      <t>ダイガク</t>
    </rPh>
    <phoneticPr fontId="1"/>
  </si>
  <si>
    <t>⑥ 国公立（独法含む）の研究機関等</t>
    <phoneticPr fontId="1"/>
  </si>
  <si>
    <t>⑦ 海外の研究機関等</t>
    <rPh sb="2" eb="4">
      <t>カイガイ</t>
    </rPh>
    <rPh sb="5" eb="7">
      <t>ケンキュウ</t>
    </rPh>
    <rPh sb="7" eb="9">
      <t>キカン</t>
    </rPh>
    <rPh sb="9" eb="10">
      <t>トウ</t>
    </rPh>
    <phoneticPr fontId="1"/>
  </si>
  <si>
    <t>⑧ 財団等研究法人</t>
    <phoneticPr fontId="1"/>
  </si>
  <si>
    <t>⑨ 民間企業</t>
    <phoneticPr fontId="1"/>
  </si>
  <si>
    <t>⑩ 海外の民間企業</t>
    <rPh sb="2" eb="4">
      <t>カイガイ</t>
    </rPh>
    <phoneticPr fontId="1"/>
  </si>
  <si>
    <r>
      <t>問２－２：雇用形態及び職名について、該当するものを</t>
    </r>
    <r>
      <rPr>
        <b/>
        <sz val="12"/>
        <color theme="1"/>
        <rFont val="ＭＳ 明朝"/>
        <family val="1"/>
        <charset val="128"/>
      </rPr>
      <t>それぞれ１つ</t>
    </r>
    <r>
      <rPr>
        <sz val="12"/>
        <color theme="1"/>
        <rFont val="ＭＳ 明朝"/>
        <family val="1"/>
        <charset val="128"/>
      </rPr>
      <t>選択してください。</t>
    </r>
    <rPh sb="0" eb="1">
      <t>ト</t>
    </rPh>
    <rPh sb="5" eb="7">
      <t>コヨウ</t>
    </rPh>
    <rPh sb="7" eb="9">
      <t>ケイタイ</t>
    </rPh>
    <rPh sb="9" eb="10">
      <t>オヨ</t>
    </rPh>
    <rPh sb="11" eb="13">
      <t>ショクメイ</t>
    </rPh>
    <rPh sb="18" eb="20">
      <t>ガイトウ</t>
    </rPh>
    <rPh sb="31" eb="33">
      <t>センタク</t>
    </rPh>
    <phoneticPr fontId="1"/>
  </si>
  <si>
    <t>雇用形態</t>
    <rPh sb="0" eb="2">
      <t>コヨウ</t>
    </rPh>
    <rPh sb="2" eb="4">
      <t>ケイタイ</t>
    </rPh>
    <phoneticPr fontId="1"/>
  </si>
  <si>
    <r>
      <t>① 常勤研究者</t>
    </r>
    <r>
      <rPr>
        <sz val="8"/>
        <color indexed="8"/>
        <rFont val="ＭＳ 明朝"/>
        <family val="1"/>
        <charset val="128"/>
      </rPr>
      <t>（雇用期間の定めなし）</t>
    </r>
    <rPh sb="2" eb="4">
      <t>ジョウキン</t>
    </rPh>
    <rPh sb="4" eb="7">
      <t>ケンキュウシャ</t>
    </rPh>
    <rPh sb="8" eb="10">
      <t>コヨウ</t>
    </rPh>
    <rPh sb="10" eb="12">
      <t>キカン</t>
    </rPh>
    <rPh sb="13" eb="14">
      <t>サダ</t>
    </rPh>
    <phoneticPr fontId="1"/>
  </si>
  <si>
    <r>
      <t>② 常勤研究職</t>
    </r>
    <r>
      <rPr>
        <sz val="8"/>
        <color indexed="8"/>
        <rFont val="ＭＳ 明朝"/>
        <family val="1"/>
        <charset val="128"/>
      </rPr>
      <t>（テニュア・トラック）</t>
    </r>
    <rPh sb="2" eb="4">
      <t>ジョウキン</t>
    </rPh>
    <rPh sb="4" eb="7">
      <t>ケンキュウショク</t>
    </rPh>
    <phoneticPr fontId="1"/>
  </si>
  <si>
    <r>
      <t>③ 常勤研究者</t>
    </r>
    <r>
      <rPr>
        <sz val="8"/>
        <color indexed="8"/>
        <rFont val="ＭＳ 明朝"/>
        <family val="1"/>
        <charset val="128"/>
      </rPr>
      <t>（任期付）</t>
    </r>
    <rPh sb="2" eb="4">
      <t>ジョウキン</t>
    </rPh>
    <rPh sb="4" eb="7">
      <t>ケンキュウシャ</t>
    </rPh>
    <rPh sb="8" eb="10">
      <t>ニンキ</t>
    </rPh>
    <rPh sb="10" eb="11">
      <t>ツキ</t>
    </rPh>
    <phoneticPr fontId="1"/>
  </si>
  <si>
    <t>任期</t>
    <rPh sb="0" eb="2">
      <t>ニンキ</t>
    </rPh>
    <phoneticPr fontId="5"/>
  </si>
  <si>
    <t>令和</t>
    <phoneticPr fontId="5"/>
  </si>
  <si>
    <t>から</t>
    <phoneticPr fontId="1"/>
  </si>
  <si>
    <t>まで</t>
    <phoneticPr fontId="1"/>
  </si>
  <si>
    <t>更新：</t>
    <rPh sb="0" eb="2">
      <t>コウシン</t>
    </rPh>
    <phoneticPr fontId="1"/>
  </si>
  <si>
    <t>有</t>
    <rPh sb="0" eb="1">
      <t>アリ</t>
    </rPh>
    <phoneticPr fontId="1"/>
  </si>
  <si>
    <t>（最長</t>
    <rPh sb="1" eb="3">
      <t>サイチョウ</t>
    </rPh>
    <phoneticPr fontId="1"/>
  </si>
  <si>
    <t>年間）</t>
    <rPh sb="0" eb="2">
      <t>ネンカン</t>
    </rPh>
    <phoneticPr fontId="1"/>
  </si>
  <si>
    <t>／</t>
    <phoneticPr fontId="1"/>
  </si>
  <si>
    <t>無</t>
    <rPh sb="0" eb="1">
      <t>ナシ</t>
    </rPh>
    <phoneticPr fontId="1"/>
  </si>
  <si>
    <t>④ フェローシップ</t>
    <phoneticPr fontId="1"/>
  </si>
  <si>
    <t>⑤ ポストドクター</t>
    <phoneticPr fontId="1"/>
  </si>
  <si>
    <t>⑥ 週30時間未満研究に従事する職</t>
    <rPh sb="2" eb="3">
      <t>シュウ</t>
    </rPh>
    <rPh sb="5" eb="7">
      <t>ジカン</t>
    </rPh>
    <rPh sb="7" eb="9">
      <t>ミマン</t>
    </rPh>
    <rPh sb="9" eb="11">
      <t>ケンキュウ</t>
    </rPh>
    <rPh sb="12" eb="14">
      <t>ジュウジ</t>
    </rPh>
    <rPh sb="16" eb="17">
      <t>ショク</t>
    </rPh>
    <phoneticPr fontId="1"/>
  </si>
  <si>
    <t>（非常勤等。海外の非常勤職も含む。）</t>
    <rPh sb="6" eb="8">
      <t>カイガイ</t>
    </rPh>
    <rPh sb="9" eb="12">
      <t>ヒジョウキン</t>
    </rPh>
    <rPh sb="12" eb="13">
      <t>ショク</t>
    </rPh>
    <rPh sb="14" eb="15">
      <t>フク</t>
    </rPh>
    <phoneticPr fontId="1"/>
  </si>
  <si>
    <t>職　　名</t>
    <rPh sb="0" eb="1">
      <t>ショク</t>
    </rPh>
    <rPh sb="3" eb="4">
      <t>メイ</t>
    </rPh>
    <phoneticPr fontId="1"/>
  </si>
  <si>
    <t xml:space="preserve"> ・雇用形態で①～③を選択された方</t>
    <rPh sb="2" eb="4">
      <t>コヨウ</t>
    </rPh>
    <rPh sb="4" eb="6">
      <t>ケイタイ</t>
    </rPh>
    <rPh sb="11" eb="13">
      <t>センタク</t>
    </rPh>
    <rPh sb="16" eb="17">
      <t>カタ</t>
    </rPh>
    <phoneticPr fontId="1"/>
  </si>
  <si>
    <t>&lt;大学&gt;</t>
    <rPh sb="1" eb="3">
      <t>ダイガク</t>
    </rPh>
    <phoneticPr fontId="1"/>
  </si>
  <si>
    <t>Ⅰ.教授</t>
    <phoneticPr fontId="1"/>
  </si>
  <si>
    <t>Ⅱ.准教授</t>
    <phoneticPr fontId="1"/>
  </si>
  <si>
    <t>Ⅲ.講師</t>
    <phoneticPr fontId="1"/>
  </si>
  <si>
    <t>Ⅳ.助教</t>
    <rPh sb="3" eb="4">
      <t>オシ</t>
    </rPh>
    <phoneticPr fontId="1"/>
  </si>
  <si>
    <t>Ⅴ.助手</t>
    <rPh sb="2" eb="4">
      <t>ジョシュ</t>
    </rPh>
    <phoneticPr fontId="1"/>
  </si>
  <si>
    <t>Ⅵ.研究員</t>
    <phoneticPr fontId="1"/>
  </si>
  <si>
    <t>Ⅶ.その他</t>
    <rPh sb="4" eb="5">
      <t>タ</t>
    </rPh>
    <phoneticPr fontId="1"/>
  </si>
  <si>
    <t>&lt;研究機関・民間企業&gt;</t>
    <rPh sb="1" eb="3">
      <t>ケンキュウ</t>
    </rPh>
    <rPh sb="3" eb="5">
      <t>キカン</t>
    </rPh>
    <rPh sb="6" eb="8">
      <t>ミンカン</t>
    </rPh>
    <rPh sb="8" eb="10">
      <t>キギョウ</t>
    </rPh>
    <phoneticPr fontId="1"/>
  </si>
  <si>
    <t>Ⅷ.ＰＩ(Principal Investigator)</t>
    <phoneticPr fontId="1"/>
  </si>
  <si>
    <t>Ⅸ.その他の研究員等</t>
    <rPh sb="4" eb="5">
      <t>タ</t>
    </rPh>
    <rPh sb="6" eb="9">
      <t>ケンキュウイン</t>
    </rPh>
    <rPh sb="9" eb="10">
      <t>ナド</t>
    </rPh>
    <phoneticPr fontId="1"/>
  </si>
  <si>
    <t xml:space="preserve"> ・雇用形態で④・⑤を選択された方</t>
    <rPh sb="2" eb="4">
      <t>コヨウ</t>
    </rPh>
    <rPh sb="4" eb="6">
      <t>ケイタイ</t>
    </rPh>
    <rPh sb="11" eb="13">
      <t>センタク</t>
    </rPh>
    <rPh sb="16" eb="17">
      <t>カタ</t>
    </rPh>
    <phoneticPr fontId="1"/>
  </si>
  <si>
    <t>Ⅹ.フェローシップ（事業・制度名</t>
    <rPh sb="10" eb="12">
      <t>ジギョウ</t>
    </rPh>
    <rPh sb="13" eb="15">
      <t>セイド</t>
    </rPh>
    <rPh sb="15" eb="16">
      <t>メイ</t>
    </rPh>
    <phoneticPr fontId="1"/>
  </si>
  <si>
    <t>：</t>
    <phoneticPr fontId="1"/>
  </si>
  <si>
    <t>ⅩⅠ.ポストドクター（雇用財源名</t>
    <rPh sb="11" eb="13">
      <t>コヨウ</t>
    </rPh>
    <rPh sb="13" eb="15">
      <t>ザイゲン</t>
    </rPh>
    <rPh sb="15" eb="16">
      <t>メイ</t>
    </rPh>
    <phoneticPr fontId="1"/>
  </si>
  <si>
    <t>ⅩⅡ.その他</t>
    <rPh sb="5" eb="6">
      <t>タ</t>
    </rPh>
    <phoneticPr fontId="1"/>
  </si>
  <si>
    <t xml:space="preserve"> ・雇用形態で⑥を選択された方</t>
    <phoneticPr fontId="1"/>
  </si>
  <si>
    <t>ⅩⅢ.非常勤講師</t>
    <rPh sb="3" eb="6">
      <t>ヒジョウキン</t>
    </rPh>
    <rPh sb="6" eb="8">
      <t>コウシ</t>
    </rPh>
    <phoneticPr fontId="1"/>
  </si>
  <si>
    <t>ⅩⅣ.非常勤研究員</t>
    <rPh sb="3" eb="6">
      <t>ヒジョウキン</t>
    </rPh>
    <rPh sb="6" eb="9">
      <t>ケンキュウイン</t>
    </rPh>
    <phoneticPr fontId="1"/>
  </si>
  <si>
    <t>ⅩⅤ.その他</t>
    <rPh sb="5" eb="6">
      <t>タ</t>
    </rPh>
    <phoneticPr fontId="1"/>
  </si>
  <si>
    <t>④</t>
  </si>
  <si>
    <t>問２－３：海外特別研究員として研究を行った経験は、研究職へのキャリアパスに役立ちましたか。</t>
    <rPh sb="0" eb="1">
      <t>ト</t>
    </rPh>
    <rPh sb="5" eb="7">
      <t>カイガイ</t>
    </rPh>
    <rPh sb="7" eb="9">
      <t>トクベツ</t>
    </rPh>
    <rPh sb="9" eb="12">
      <t>ケンキュウイン</t>
    </rPh>
    <rPh sb="15" eb="17">
      <t>ケンキュウ</t>
    </rPh>
    <rPh sb="18" eb="19">
      <t>オコナ</t>
    </rPh>
    <rPh sb="21" eb="23">
      <t>ケイケン</t>
    </rPh>
    <rPh sb="25" eb="28">
      <t>ケンキュウショク</t>
    </rPh>
    <rPh sb="37" eb="39">
      <t>ヤクダ</t>
    </rPh>
    <phoneticPr fontId="1"/>
  </si>
  <si>
    <t>① 非常に役に立った</t>
    <rPh sb="2" eb="4">
      <t>ヒジョウ</t>
    </rPh>
    <rPh sb="5" eb="6">
      <t>ヤク</t>
    </rPh>
    <rPh sb="7" eb="8">
      <t>タ</t>
    </rPh>
    <phoneticPr fontId="1"/>
  </si>
  <si>
    <t>② 役立った</t>
    <rPh sb="2" eb="3">
      <t>ヤク</t>
    </rPh>
    <rPh sb="3" eb="4">
      <t>タ</t>
    </rPh>
    <phoneticPr fontId="1"/>
  </si>
  <si>
    <t>③ どちらかと言えば役立たった</t>
    <rPh sb="7" eb="8">
      <t>イ</t>
    </rPh>
    <rPh sb="10" eb="12">
      <t>ヤクダ</t>
    </rPh>
    <phoneticPr fontId="1"/>
  </si>
  <si>
    <t>④ どちらとも言えない（理由をご記載願います）</t>
    <rPh sb="7" eb="8">
      <t>イ</t>
    </rPh>
    <rPh sb="12" eb="14">
      <t>リユウ</t>
    </rPh>
    <rPh sb="16" eb="18">
      <t>キサイ</t>
    </rPh>
    <rPh sb="18" eb="19">
      <t>ネガ</t>
    </rPh>
    <phoneticPr fontId="1"/>
  </si>
  <si>
    <t>⑤ 役立たなかった（理由をご記入願います）</t>
    <rPh sb="2" eb="4">
      <t>ヤクダ</t>
    </rPh>
    <rPh sb="10" eb="12">
      <t>リユウ</t>
    </rPh>
    <rPh sb="14" eb="16">
      <t>キニュウ</t>
    </rPh>
    <rPh sb="16" eb="17">
      <t>ネガ</t>
    </rPh>
    <phoneticPr fontId="1"/>
  </si>
  <si>
    <t>④・⑤の理由</t>
    <rPh sb="4" eb="6">
      <t>リユウ</t>
    </rPh>
    <phoneticPr fontId="1"/>
  </si>
  <si>
    <t>問２－４：問２－３で①～③と回答された方は、どのように役立ったかについて以下に回答願います。</t>
    <rPh sb="0" eb="1">
      <t>ト</t>
    </rPh>
    <rPh sb="5" eb="6">
      <t>トイ</t>
    </rPh>
    <rPh sb="14" eb="16">
      <t>カイトウ</t>
    </rPh>
    <rPh sb="19" eb="20">
      <t>カタ</t>
    </rPh>
    <rPh sb="27" eb="29">
      <t>ヤクダ</t>
    </rPh>
    <rPh sb="36" eb="38">
      <t>イカ</t>
    </rPh>
    <rPh sb="39" eb="41">
      <t>カイトウ</t>
    </rPh>
    <rPh sb="41" eb="42">
      <t>ネガ</t>
    </rPh>
    <phoneticPr fontId="1"/>
  </si>
  <si>
    <t>ⅰ.研究能力・技術を身につけることができた</t>
    <rPh sb="2" eb="4">
      <t>ケンキュウ</t>
    </rPh>
    <rPh sb="4" eb="6">
      <t>ノウリョク</t>
    </rPh>
    <rPh sb="7" eb="9">
      <t>ギジュツ</t>
    </rPh>
    <rPh sb="10" eb="11">
      <t>ミ</t>
    </rPh>
    <phoneticPr fontId="1"/>
  </si>
  <si>
    <t>ⅱ.現在の研究につながる基礎的な研究を行うことができた</t>
    <rPh sb="2" eb="4">
      <t>ゲンザイ</t>
    </rPh>
    <rPh sb="5" eb="7">
      <t>ケンキュウ</t>
    </rPh>
    <rPh sb="12" eb="15">
      <t>キソテキ</t>
    </rPh>
    <rPh sb="16" eb="18">
      <t>ケンキュウ</t>
    </rPh>
    <rPh sb="19" eb="20">
      <t>オコナ</t>
    </rPh>
    <phoneticPr fontId="1"/>
  </si>
  <si>
    <t>ⅲ.自分が設けた研究テーマに専念することができた</t>
    <rPh sb="2" eb="4">
      <t>ジブン</t>
    </rPh>
    <rPh sb="5" eb="6">
      <t>モウ</t>
    </rPh>
    <rPh sb="8" eb="10">
      <t>ケンキュウ</t>
    </rPh>
    <rPh sb="14" eb="16">
      <t>センネン</t>
    </rPh>
    <phoneticPr fontId="1"/>
  </si>
  <si>
    <t>ⅳ.経済的な不安を感じずに研究することができた</t>
    <rPh sb="2" eb="5">
      <t>ケイザイテキ</t>
    </rPh>
    <rPh sb="6" eb="8">
      <t>フアン</t>
    </rPh>
    <rPh sb="9" eb="10">
      <t>カン</t>
    </rPh>
    <rPh sb="13" eb="15">
      <t>ケンキュウ</t>
    </rPh>
    <phoneticPr fontId="1"/>
  </si>
  <si>
    <t>ⅴ.海外で研究を行う機会・経験を得ることができた</t>
    <rPh sb="2" eb="4">
      <t>カイガイ</t>
    </rPh>
    <rPh sb="5" eb="7">
      <t>ケンキュウ</t>
    </rPh>
    <rPh sb="8" eb="9">
      <t>オコナ</t>
    </rPh>
    <rPh sb="10" eb="12">
      <t>キカイ</t>
    </rPh>
    <rPh sb="13" eb="15">
      <t>ケイケン</t>
    </rPh>
    <rPh sb="16" eb="17">
      <t>エ</t>
    </rPh>
    <phoneticPr fontId="1"/>
  </si>
  <si>
    <t>ⅵ.研究業績を増やすことができた</t>
    <rPh sb="2" eb="4">
      <t>ケンキュウ</t>
    </rPh>
    <rPh sb="4" eb="6">
      <t>ギョウセキ</t>
    </rPh>
    <rPh sb="7" eb="8">
      <t>フ</t>
    </rPh>
    <phoneticPr fontId="1"/>
  </si>
  <si>
    <t>ⅶ.人脈・交流を広げることができた</t>
    <rPh sb="2" eb="4">
      <t>ジンミャク</t>
    </rPh>
    <rPh sb="5" eb="7">
      <t>コウリュウ</t>
    </rPh>
    <rPh sb="8" eb="9">
      <t>ヒロ</t>
    </rPh>
    <phoneticPr fontId="1"/>
  </si>
  <si>
    <t>ⅷ.研究職に就職するにあたり役立った</t>
    <rPh sb="2" eb="5">
      <t>ケンキュウショク</t>
    </rPh>
    <rPh sb="6" eb="8">
      <t>シュウショク</t>
    </rPh>
    <rPh sb="14" eb="16">
      <t>ヤクダ</t>
    </rPh>
    <phoneticPr fontId="1"/>
  </si>
  <si>
    <t>ⅸ.その他</t>
    <rPh sb="4" eb="5">
      <t>タ</t>
    </rPh>
    <phoneticPr fontId="1"/>
  </si>
  <si>
    <t>（内容を以下にご記入願います）</t>
    <rPh sb="8" eb="10">
      <t>キニュウ</t>
    </rPh>
    <phoneticPr fontId="1"/>
  </si>
  <si>
    <t>“ⅸ.その他”の内容</t>
    <rPh sb="8" eb="10">
      <t>ナイヨウ</t>
    </rPh>
    <phoneticPr fontId="1"/>
  </si>
  <si>
    <t>問２－５：海外特別研究員終了時から現在までに受賞歴があれば、以下に回答願います。</t>
    <rPh sb="0" eb="1">
      <t>ト</t>
    </rPh>
    <rPh sb="5" eb="7">
      <t>カイガイ</t>
    </rPh>
    <rPh sb="7" eb="9">
      <t>トクベツ</t>
    </rPh>
    <rPh sb="9" eb="12">
      <t>ケンキュウイン</t>
    </rPh>
    <rPh sb="12" eb="15">
      <t>シュウリョウジ</t>
    </rPh>
    <rPh sb="17" eb="19">
      <t>ゲンザイ</t>
    </rPh>
    <rPh sb="22" eb="25">
      <t>ジュショウレキ</t>
    </rPh>
    <rPh sb="30" eb="32">
      <t>イカ</t>
    </rPh>
    <rPh sb="33" eb="35">
      <t>カイトウ</t>
    </rPh>
    <rPh sb="35" eb="36">
      <t>ネガ</t>
    </rPh>
    <phoneticPr fontId="1"/>
  </si>
  <si>
    <t>（受賞名、授賞機関、受賞テーマ、受賞年月日等）</t>
    <phoneticPr fontId="1"/>
  </si>
  <si>
    <t>問２－６：その他、事業・制度等に対して、ご意見・ご要望等ございましたら、ご自由に記入願います。</t>
    <rPh sb="0" eb="1">
      <t>ト</t>
    </rPh>
    <rPh sb="7" eb="8">
      <t>タ</t>
    </rPh>
    <rPh sb="9" eb="11">
      <t>ジギョウ</t>
    </rPh>
    <rPh sb="12" eb="15">
      <t>セイドトウ</t>
    </rPh>
    <rPh sb="16" eb="17">
      <t>タイ</t>
    </rPh>
    <rPh sb="21" eb="23">
      <t>イケン</t>
    </rPh>
    <rPh sb="25" eb="28">
      <t>ヨウボウトウ</t>
    </rPh>
    <rPh sb="37" eb="39">
      <t>ジユウ</t>
    </rPh>
    <rPh sb="40" eb="43">
      <t>キニュウネガ</t>
    </rPh>
    <phoneticPr fontId="1"/>
  </si>
  <si>
    <t>問１）で 「① 研究職」とご回答いただいた方への質問は以上です。</t>
    <rPh sb="0" eb="1">
      <t>ト</t>
    </rPh>
    <rPh sb="8" eb="11">
      <t>ケンキュウショク</t>
    </rPh>
    <rPh sb="14" eb="16">
      <t>カイトウ</t>
    </rPh>
    <rPh sb="21" eb="22">
      <t>カタ</t>
    </rPh>
    <rPh sb="24" eb="26">
      <t>シツモン</t>
    </rPh>
    <rPh sb="27" eb="29">
      <t>イジョウ</t>
    </rPh>
    <phoneticPr fontId="3"/>
  </si>
  <si>
    <t>ご協力ありがとうございました。</t>
    <rPh sb="1" eb="3">
      <t>キョウリョク</t>
    </rPh>
    <phoneticPr fontId="3"/>
  </si>
  <si>
    <t>⑤</t>
  </si>
  <si>
    <t>問３）</t>
    <phoneticPr fontId="5"/>
  </si>
  <si>
    <t>問１で②を選択した、非研究職等の方にお尋ねします。</t>
    <phoneticPr fontId="5"/>
  </si>
  <si>
    <t>問３－１：勤務先名をご記入ください。(無職の方は空欄にし、問３－２⑨にチェックを入れてください。)</t>
    <rPh sb="0" eb="1">
      <t>ト</t>
    </rPh>
    <rPh sb="5" eb="8">
      <t>キンムサキ</t>
    </rPh>
    <rPh sb="8" eb="9">
      <t>メイ</t>
    </rPh>
    <rPh sb="11" eb="13">
      <t>キニュウ</t>
    </rPh>
    <rPh sb="19" eb="21">
      <t>ムショク</t>
    </rPh>
    <rPh sb="22" eb="23">
      <t>カタ</t>
    </rPh>
    <rPh sb="24" eb="26">
      <t>クウラン</t>
    </rPh>
    <rPh sb="29" eb="30">
      <t>トイ</t>
    </rPh>
    <rPh sb="40" eb="41">
      <t>イ</t>
    </rPh>
    <phoneticPr fontId="1"/>
  </si>
  <si>
    <t>問３－２：現在就かれている職種について、選択していただくか、具体的に記載してください。</t>
    <rPh sb="0" eb="1">
      <t>ト</t>
    </rPh>
    <rPh sb="5" eb="7">
      <t>ゲンザイ</t>
    </rPh>
    <rPh sb="7" eb="8">
      <t>ツ</t>
    </rPh>
    <rPh sb="13" eb="15">
      <t>ショクシュ</t>
    </rPh>
    <rPh sb="20" eb="22">
      <t>センタク</t>
    </rPh>
    <rPh sb="30" eb="33">
      <t>グタイテキ</t>
    </rPh>
    <rPh sb="34" eb="36">
      <t>キサイ</t>
    </rPh>
    <phoneticPr fontId="1"/>
  </si>
  <si>
    <t>① 専門職</t>
    <rPh sb="2" eb="5">
      <t>センモンショク</t>
    </rPh>
    <phoneticPr fontId="1"/>
  </si>
  <si>
    <t>Ⅰ.医師</t>
    <rPh sb="2" eb="4">
      <t>イシ</t>
    </rPh>
    <phoneticPr fontId="1"/>
  </si>
  <si>
    <t>Ⅱ.弁護士</t>
    <rPh sb="2" eb="5">
      <t>ベンゴシ</t>
    </rPh>
    <phoneticPr fontId="1"/>
  </si>
  <si>
    <t>Ⅲ.弁理士</t>
    <rPh sb="2" eb="5">
      <t>ベンリシ</t>
    </rPh>
    <phoneticPr fontId="1"/>
  </si>
  <si>
    <t>Ⅳ.サイエンスライター</t>
    <phoneticPr fontId="1"/>
  </si>
  <si>
    <t>Ⅴ.学芸員</t>
    <rPh sb="2" eb="5">
      <t>ガクゲイイン</t>
    </rPh>
    <phoneticPr fontId="1"/>
  </si>
  <si>
    <t>Ⅵ.特許審査官</t>
    <rPh sb="2" eb="4">
      <t>トッキョ</t>
    </rPh>
    <rPh sb="4" eb="7">
      <t>シンサカン</t>
    </rPh>
    <phoneticPr fontId="1"/>
  </si>
  <si>
    <t>Ⅶ.コンサルタント</t>
    <phoneticPr fontId="1"/>
  </si>
  <si>
    <t>Ⅷ.その他</t>
    <rPh sb="4" eb="5">
      <t>タ</t>
    </rPh>
    <phoneticPr fontId="1"/>
  </si>
  <si>
    <t>② 教育職</t>
    <rPh sb="2" eb="5">
      <t>キョウイクショク</t>
    </rPh>
    <phoneticPr fontId="1"/>
  </si>
  <si>
    <t>Ⅰ.大学等高等教育機関</t>
    <rPh sb="2" eb="5">
      <t>ダイガクトウ</t>
    </rPh>
    <rPh sb="5" eb="7">
      <t>コウトウ</t>
    </rPh>
    <rPh sb="7" eb="9">
      <t>キョウイク</t>
    </rPh>
    <rPh sb="9" eb="11">
      <t>キカン</t>
    </rPh>
    <phoneticPr fontId="1"/>
  </si>
  <si>
    <t>Ⅱ.高等専門学校</t>
    <rPh sb="2" eb="4">
      <t>コウトウ</t>
    </rPh>
    <rPh sb="4" eb="6">
      <t>センモン</t>
    </rPh>
    <rPh sb="6" eb="8">
      <t>ガッコウ</t>
    </rPh>
    <phoneticPr fontId="1"/>
  </si>
  <si>
    <t>Ⅲ.高校</t>
    <rPh sb="2" eb="4">
      <t>コウコウ</t>
    </rPh>
    <phoneticPr fontId="1"/>
  </si>
  <si>
    <t>Ⅳ．その他</t>
    <phoneticPr fontId="1"/>
  </si>
  <si>
    <t>③ 技術職</t>
    <rPh sb="2" eb="5">
      <t>ギジュツショク</t>
    </rPh>
    <phoneticPr fontId="1"/>
  </si>
  <si>
    <t>Ⅰ.民間企業の製品開発部門、工場部門等</t>
    <rPh sb="2" eb="4">
      <t>ミンカン</t>
    </rPh>
    <rPh sb="4" eb="6">
      <t>キギョウ</t>
    </rPh>
    <rPh sb="7" eb="9">
      <t>セイヒン</t>
    </rPh>
    <rPh sb="9" eb="11">
      <t>カイハツ</t>
    </rPh>
    <rPh sb="11" eb="13">
      <t>ブモン</t>
    </rPh>
    <rPh sb="14" eb="16">
      <t>コウジョウ</t>
    </rPh>
    <rPh sb="16" eb="18">
      <t>ブモン</t>
    </rPh>
    <rPh sb="18" eb="19">
      <t>トウ</t>
    </rPh>
    <phoneticPr fontId="1"/>
  </si>
  <si>
    <t>Ⅱ.大学・研究機関のテクニシャン、研究補助職</t>
    <rPh sb="2" eb="4">
      <t>ダイガク</t>
    </rPh>
    <rPh sb="5" eb="7">
      <t>ケンキュウ</t>
    </rPh>
    <rPh sb="7" eb="9">
      <t>キカン</t>
    </rPh>
    <rPh sb="17" eb="19">
      <t>ケンキュウ</t>
    </rPh>
    <rPh sb="19" eb="22">
      <t>ホジョショク</t>
    </rPh>
    <phoneticPr fontId="1"/>
  </si>
  <si>
    <t>Ⅲ.その他</t>
    <rPh sb="4" eb="5">
      <t>タ</t>
    </rPh>
    <phoneticPr fontId="1"/>
  </si>
  <si>
    <t>④ 研究支援職</t>
    <rPh sb="2" eb="4">
      <t>ケンキュウ</t>
    </rPh>
    <rPh sb="4" eb="7">
      <t>シエンショク</t>
    </rPh>
    <phoneticPr fontId="1"/>
  </si>
  <si>
    <t>Ⅰ.大学事務職員</t>
    <rPh sb="2" eb="4">
      <t>ダイガク</t>
    </rPh>
    <rPh sb="4" eb="6">
      <t>ジム</t>
    </rPh>
    <rPh sb="6" eb="8">
      <t>ショクイン</t>
    </rPh>
    <phoneticPr fontId="1"/>
  </si>
  <si>
    <t>Ⅱ.研究機関事務職員</t>
    <rPh sb="2" eb="4">
      <t>ケンキュウ</t>
    </rPh>
    <rPh sb="4" eb="6">
      <t>キカン</t>
    </rPh>
    <rPh sb="6" eb="8">
      <t>ジム</t>
    </rPh>
    <rPh sb="8" eb="10">
      <t>ショクイン</t>
    </rPh>
    <phoneticPr fontId="1"/>
  </si>
  <si>
    <t>Ⅲ.ＴＬＯ</t>
    <phoneticPr fontId="1"/>
  </si>
  <si>
    <t>Ⅳ.ファンディングエージェンシー</t>
    <phoneticPr fontId="1"/>
  </si>
  <si>
    <t>Ⅴ.その他</t>
    <rPh sb="4" eb="5">
      <t>タ</t>
    </rPh>
    <phoneticPr fontId="1"/>
  </si>
  <si>
    <t>⑤ 経営者・役員等</t>
    <rPh sb="2" eb="5">
      <t>ケイエイシャ</t>
    </rPh>
    <rPh sb="6" eb="8">
      <t>ヤクイン</t>
    </rPh>
    <rPh sb="8" eb="9">
      <t>トウ</t>
    </rPh>
    <phoneticPr fontId="1"/>
  </si>
  <si>
    <r>
      <t>Ⅰ.民間企業</t>
    </r>
    <r>
      <rPr>
        <sz val="8"/>
        <color indexed="8"/>
        <rFont val="ＭＳ 明朝"/>
        <family val="1"/>
        <charset val="128"/>
      </rPr>
      <t>（*ベンチャー創業を除く）</t>
    </r>
    <rPh sb="2" eb="4">
      <t>ミンカン</t>
    </rPh>
    <rPh sb="4" eb="6">
      <t>キギョウ</t>
    </rPh>
    <rPh sb="13" eb="15">
      <t>ソウギョウ</t>
    </rPh>
    <rPh sb="16" eb="17">
      <t>ノゾ</t>
    </rPh>
    <phoneticPr fontId="1"/>
  </si>
  <si>
    <t>Ⅱ.ベンチャー創業</t>
    <rPh sb="7" eb="9">
      <t>ソウギョウ</t>
    </rPh>
    <phoneticPr fontId="1"/>
  </si>
  <si>
    <t>⑥ 事務職・営業職・その他</t>
    <rPh sb="2" eb="5">
      <t>ジムショク</t>
    </rPh>
    <rPh sb="6" eb="9">
      <t>エイギョウショク</t>
    </rPh>
    <rPh sb="12" eb="13">
      <t>タ</t>
    </rPh>
    <phoneticPr fontId="1"/>
  </si>
  <si>
    <t>Ⅰ.公的機関</t>
    <rPh sb="2" eb="4">
      <t>コウテキ</t>
    </rPh>
    <rPh sb="4" eb="6">
      <t>キカン</t>
    </rPh>
    <phoneticPr fontId="1"/>
  </si>
  <si>
    <t>Ⅱ.民間企業</t>
    <rPh sb="2" eb="4">
      <t>ミンカン</t>
    </rPh>
    <rPh sb="4" eb="6">
      <t>キギョウ</t>
    </rPh>
    <phoneticPr fontId="1"/>
  </si>
  <si>
    <t>Ⅲ.財団</t>
    <rPh sb="2" eb="4">
      <t>ザイダン</t>
    </rPh>
    <phoneticPr fontId="1"/>
  </si>
  <si>
    <t>Ⅳ.ＮＰＯ</t>
    <phoneticPr fontId="1"/>
  </si>
  <si>
    <t>⑦ 学生</t>
    <rPh sb="2" eb="4">
      <t>ガクセイ</t>
    </rPh>
    <phoneticPr fontId="1"/>
  </si>
  <si>
    <t>Ⅰ.研究生、研修生</t>
    <rPh sb="2" eb="5">
      <t>ケンキュウセイ</t>
    </rPh>
    <rPh sb="6" eb="9">
      <t>ケンシュウセイ</t>
    </rPh>
    <phoneticPr fontId="1"/>
  </si>
  <si>
    <t>Ⅱ.大学院生</t>
    <rPh sb="2" eb="6">
      <t>ダイガクインセイ</t>
    </rPh>
    <phoneticPr fontId="1"/>
  </si>
  <si>
    <t>Ⅲ.国外留学</t>
    <rPh sb="2" eb="4">
      <t>コクガイ</t>
    </rPh>
    <rPh sb="4" eb="6">
      <t>リュウガク</t>
    </rPh>
    <phoneticPr fontId="1"/>
  </si>
  <si>
    <t>Ⅳ.その他</t>
    <rPh sb="4" eb="5">
      <t>タ</t>
    </rPh>
    <phoneticPr fontId="1"/>
  </si>
  <si>
    <t>⑧</t>
    <phoneticPr fontId="1"/>
  </si>
  <si>
    <t>パート・アルバイト</t>
    <phoneticPr fontId="1"/>
  </si>
  <si>
    <t>⑨</t>
    <phoneticPr fontId="1"/>
  </si>
  <si>
    <t>無職</t>
    <phoneticPr fontId="1"/>
  </si>
  <si>
    <t>⑩</t>
    <phoneticPr fontId="1"/>
  </si>
  <si>
    <t>その他</t>
    <phoneticPr fontId="1"/>
  </si>
  <si>
    <t>問３－３：海外特別研究員として研究を行った経験は、現在のキャリア等に役立ちましたか。</t>
    <rPh sb="0" eb="1">
      <t>ト</t>
    </rPh>
    <rPh sb="5" eb="7">
      <t>カイガイ</t>
    </rPh>
    <rPh sb="7" eb="9">
      <t>トクベツ</t>
    </rPh>
    <rPh sb="9" eb="12">
      <t>ケンキュウイン</t>
    </rPh>
    <rPh sb="15" eb="17">
      <t>ケンキュウ</t>
    </rPh>
    <rPh sb="18" eb="19">
      <t>オコナ</t>
    </rPh>
    <rPh sb="21" eb="23">
      <t>ケイケン</t>
    </rPh>
    <rPh sb="25" eb="27">
      <t>ゲンザイ</t>
    </rPh>
    <rPh sb="32" eb="33">
      <t>トウ</t>
    </rPh>
    <rPh sb="34" eb="36">
      <t>ヤクダ</t>
    </rPh>
    <phoneticPr fontId="1"/>
  </si>
  <si>
    <t>④ どちらとも言えない</t>
    <rPh sb="7" eb="8">
      <t>イ</t>
    </rPh>
    <phoneticPr fontId="1"/>
  </si>
  <si>
    <t>⑤ 役立たなかった</t>
    <rPh sb="2" eb="4">
      <t>ヤクダ</t>
    </rPh>
    <phoneticPr fontId="1"/>
  </si>
  <si>
    <t>⑥</t>
  </si>
  <si>
    <t>問３－４：</t>
    <rPh sb="0" eb="1">
      <t>ト</t>
    </rPh>
    <phoneticPr fontId="1"/>
  </si>
  <si>
    <t>問３－３で①～③と回答された方はどのように役立ったかについて、④・⑤と回答された方は
役立たなかった理由について、以下にご記入願います。
また、研究職ではなく非研究職に就かれた理由について、差し支えない範囲でご記入願います。</t>
    <rPh sb="43" eb="45">
      <t>ヤクダ</t>
    </rPh>
    <rPh sb="50" eb="52">
      <t>リユウ</t>
    </rPh>
    <rPh sb="57" eb="59">
      <t>イカ</t>
    </rPh>
    <rPh sb="61" eb="63">
      <t>キニュウ</t>
    </rPh>
    <rPh sb="63" eb="64">
      <t>ネガ</t>
    </rPh>
    <rPh sb="72" eb="75">
      <t>ケンキュウショク</t>
    </rPh>
    <rPh sb="79" eb="80">
      <t>ヒ</t>
    </rPh>
    <rPh sb="80" eb="83">
      <t>ケンキュウショク</t>
    </rPh>
    <rPh sb="84" eb="85">
      <t>ツ</t>
    </rPh>
    <rPh sb="88" eb="90">
      <t>リユウ</t>
    </rPh>
    <rPh sb="95" eb="96">
      <t>サ</t>
    </rPh>
    <rPh sb="97" eb="98">
      <t>ツカ</t>
    </rPh>
    <rPh sb="101" eb="103">
      <t>ハンイ</t>
    </rPh>
    <rPh sb="105" eb="108">
      <t>キニュウネガ</t>
    </rPh>
    <phoneticPr fontId="1"/>
  </si>
  <si>
    <t>問３－５：その他、事業・制度等に対して、ご意見・ご要望等ございましたら、ご自由に記入願います。</t>
    <rPh sb="0" eb="1">
      <t>ト</t>
    </rPh>
    <rPh sb="7" eb="8">
      <t>タ</t>
    </rPh>
    <rPh sb="9" eb="11">
      <t>ジギョウ</t>
    </rPh>
    <rPh sb="12" eb="15">
      <t>セイドトウ</t>
    </rPh>
    <rPh sb="16" eb="17">
      <t>タイ</t>
    </rPh>
    <rPh sb="21" eb="23">
      <t>イケン</t>
    </rPh>
    <rPh sb="25" eb="28">
      <t>ヨウボウトウ</t>
    </rPh>
    <rPh sb="37" eb="39">
      <t>ジユウ</t>
    </rPh>
    <rPh sb="40" eb="43">
      <t>キニュウネガ</t>
    </rPh>
    <phoneticPr fontId="1"/>
  </si>
  <si>
    <t>問１）で 「② 非研究職等」とご回答いただいた方への質問は以上です。</t>
    <rPh sb="0" eb="1">
      <t>ト</t>
    </rPh>
    <rPh sb="8" eb="9">
      <t>ヒ</t>
    </rPh>
    <rPh sb="9" eb="12">
      <t>ケンキュウショク</t>
    </rPh>
    <rPh sb="12" eb="13">
      <t>トウ</t>
    </rPh>
    <rPh sb="16" eb="18">
      <t>カイトウ</t>
    </rPh>
    <rPh sb="23" eb="24">
      <t>カタ</t>
    </rPh>
    <rPh sb="26" eb="28">
      <t>シツモン</t>
    </rPh>
    <rPh sb="29" eb="31">
      <t>イジョウ</t>
    </rPh>
    <phoneticPr fontId="3"/>
  </si>
  <si>
    <t>ご協力ありがとうございました。</t>
    <rPh sb="1" eb="3">
      <t>キョウリョク</t>
    </rPh>
    <phoneticPr fontId="1"/>
  </si>
  <si>
    <t>設問</t>
    <rPh sb="0" eb="2">
      <t>セツモン</t>
    </rPh>
    <phoneticPr fontId="1"/>
  </si>
  <si>
    <t>基本情報</t>
    <rPh sb="0" eb="2">
      <t>キホン</t>
    </rPh>
    <rPh sb="2" eb="4">
      <t>ジョウホウ</t>
    </rPh>
    <phoneticPr fontId="1"/>
  </si>
  <si>
    <t>連絡先</t>
    <rPh sb="0" eb="3">
      <t>レンラクサキ</t>
    </rPh>
    <phoneticPr fontId="1"/>
  </si>
  <si>
    <t>海特申請時</t>
    <rPh sb="0" eb="2">
      <t>カイトク</t>
    </rPh>
    <rPh sb="2" eb="4">
      <t>シンセイ</t>
    </rPh>
    <rPh sb="4" eb="5">
      <t>ジ</t>
    </rPh>
    <phoneticPr fontId="5"/>
  </si>
  <si>
    <t>海特採用中職歴①</t>
    <rPh sb="0" eb="2">
      <t>カイトク</t>
    </rPh>
    <rPh sb="2" eb="5">
      <t>サイヨウチュウ</t>
    </rPh>
    <rPh sb="5" eb="6">
      <t>ショク</t>
    </rPh>
    <rPh sb="6" eb="7">
      <t>レキ</t>
    </rPh>
    <phoneticPr fontId="5"/>
  </si>
  <si>
    <t>海特採用中職歴②</t>
    <rPh sb="0" eb="2">
      <t>カイトク</t>
    </rPh>
    <rPh sb="2" eb="5">
      <t>サイヨウチュウ</t>
    </rPh>
    <rPh sb="5" eb="6">
      <t>ショク</t>
    </rPh>
    <rPh sb="6" eb="7">
      <t>レキ</t>
    </rPh>
    <phoneticPr fontId="5"/>
  </si>
  <si>
    <t>海特終了</t>
    <rPh sb="0" eb="2">
      <t>カイトク</t>
    </rPh>
    <rPh sb="2" eb="4">
      <t>シュウリョウ</t>
    </rPh>
    <phoneticPr fontId="1"/>
  </si>
  <si>
    <t>海特終了後職歴①</t>
    <rPh sb="0" eb="2">
      <t>カイトク</t>
    </rPh>
    <rPh sb="2" eb="5">
      <t>シュウリョウゴ</t>
    </rPh>
    <rPh sb="5" eb="6">
      <t>ショク</t>
    </rPh>
    <rPh sb="6" eb="7">
      <t>レキ</t>
    </rPh>
    <phoneticPr fontId="5"/>
  </si>
  <si>
    <t>海特終了後職歴②</t>
    <rPh sb="0" eb="2">
      <t>カイトク</t>
    </rPh>
    <rPh sb="2" eb="5">
      <t>シュウリョウゴ</t>
    </rPh>
    <rPh sb="5" eb="6">
      <t>ショク</t>
    </rPh>
    <rPh sb="6" eb="7">
      <t>レキ</t>
    </rPh>
    <phoneticPr fontId="5"/>
  </si>
  <si>
    <t>海特終了後職歴③</t>
    <rPh sb="0" eb="2">
      <t>カイトク</t>
    </rPh>
    <rPh sb="2" eb="5">
      <t>シュウリョウゴ</t>
    </rPh>
    <rPh sb="5" eb="6">
      <t>ショク</t>
    </rPh>
    <rPh sb="6" eb="7">
      <t>レキ</t>
    </rPh>
    <phoneticPr fontId="5"/>
  </si>
  <si>
    <t>海特終了後職歴④</t>
    <rPh sb="0" eb="2">
      <t>カイトク</t>
    </rPh>
    <rPh sb="2" eb="5">
      <t>シュウリョウゴ</t>
    </rPh>
    <rPh sb="5" eb="6">
      <t>ショク</t>
    </rPh>
    <rPh sb="6" eb="7">
      <t>レキ</t>
    </rPh>
    <phoneticPr fontId="5"/>
  </si>
  <si>
    <t>海特終了後職歴⑤</t>
    <rPh sb="0" eb="2">
      <t>カイトク</t>
    </rPh>
    <rPh sb="2" eb="5">
      <t>シュウリョウゴ</t>
    </rPh>
    <rPh sb="5" eb="6">
      <t>ショク</t>
    </rPh>
    <rPh sb="6" eb="7">
      <t>レキ</t>
    </rPh>
    <phoneticPr fontId="5"/>
  </si>
  <si>
    <t>海特終了後職歴⑥</t>
    <rPh sb="0" eb="2">
      <t>カイトク</t>
    </rPh>
    <rPh sb="2" eb="5">
      <t>シュウリョウゴ</t>
    </rPh>
    <rPh sb="5" eb="6">
      <t>ショク</t>
    </rPh>
    <rPh sb="6" eb="7">
      <t>レキ</t>
    </rPh>
    <phoneticPr fontId="5"/>
  </si>
  <si>
    <t>海特終了後職歴⑦</t>
    <rPh sb="0" eb="2">
      <t>カイトク</t>
    </rPh>
    <rPh sb="2" eb="5">
      <t>シュウリョウゴ</t>
    </rPh>
    <rPh sb="5" eb="6">
      <t>ショク</t>
    </rPh>
    <rPh sb="6" eb="7">
      <t>レキ</t>
    </rPh>
    <phoneticPr fontId="5"/>
  </si>
  <si>
    <t>海特終了後職歴⑧</t>
    <rPh sb="0" eb="2">
      <t>カイトク</t>
    </rPh>
    <rPh sb="2" eb="5">
      <t>シュウリョウゴ</t>
    </rPh>
    <rPh sb="5" eb="6">
      <t>ショク</t>
    </rPh>
    <rPh sb="6" eb="7">
      <t>レキ</t>
    </rPh>
    <phoneticPr fontId="5"/>
  </si>
  <si>
    <t>海特終了後職歴⑨</t>
    <rPh sb="0" eb="2">
      <t>カイトク</t>
    </rPh>
    <rPh sb="2" eb="5">
      <t>シュウリョウゴ</t>
    </rPh>
    <rPh sb="5" eb="6">
      <t>ショク</t>
    </rPh>
    <rPh sb="6" eb="7">
      <t>レキ</t>
    </rPh>
    <phoneticPr fontId="5"/>
  </si>
  <si>
    <t>Ａ：採用開始時の身分・職との関係</t>
    <rPh sb="2" eb="4">
      <t>サイヨウ</t>
    </rPh>
    <rPh sb="4" eb="6">
      <t>カイシ</t>
    </rPh>
    <rPh sb="6" eb="7">
      <t>ジ</t>
    </rPh>
    <rPh sb="8" eb="10">
      <t>ミブン</t>
    </rPh>
    <rPh sb="11" eb="12">
      <t>ショク</t>
    </rPh>
    <rPh sb="14" eb="16">
      <t>カンケイ</t>
    </rPh>
    <phoneticPr fontId="1"/>
  </si>
  <si>
    <t>Ｂ－１：派遣中の扱い</t>
    <rPh sb="4" eb="7">
      <t>ハケンチュウ</t>
    </rPh>
    <rPh sb="8" eb="9">
      <t>アツカ</t>
    </rPh>
    <phoneticPr fontId="5"/>
  </si>
  <si>
    <t>Ｂ－２：申請時職と終了後職</t>
    <rPh sb="4" eb="6">
      <t>シンセイ</t>
    </rPh>
    <rPh sb="6" eb="7">
      <t>ジ</t>
    </rPh>
    <rPh sb="7" eb="8">
      <t>ショク</t>
    </rPh>
    <rPh sb="9" eb="12">
      <t>シュウリョウゴ</t>
    </rPh>
    <rPh sb="12" eb="13">
      <t>ショク</t>
    </rPh>
    <phoneticPr fontId="5"/>
  </si>
  <si>
    <t>Ｃ－１：辞職の時期</t>
    <rPh sb="4" eb="6">
      <t>ジショク</t>
    </rPh>
    <rPh sb="7" eb="9">
      <t>ジキ</t>
    </rPh>
    <phoneticPr fontId="5"/>
  </si>
  <si>
    <t>Ｃ－２：派遣中の扱い</t>
    <rPh sb="4" eb="7">
      <t>ハケンチュウ</t>
    </rPh>
    <rPh sb="8" eb="9">
      <t>アツカ</t>
    </rPh>
    <phoneticPr fontId="5"/>
  </si>
  <si>
    <t>Ｃ－３：辞職と終了後職</t>
    <rPh sb="4" eb="5">
      <t>ジ</t>
    </rPh>
    <rPh sb="5" eb="6">
      <t>ショク</t>
    </rPh>
    <rPh sb="7" eb="10">
      <t>シュウリョウゴ</t>
    </rPh>
    <rPh sb="10" eb="11">
      <t>ショク</t>
    </rPh>
    <phoneticPr fontId="5"/>
  </si>
  <si>
    <t>問１</t>
    <rPh sb="0" eb="1">
      <t>トイ</t>
    </rPh>
    <phoneticPr fontId="1"/>
  </si>
  <si>
    <t>問２－１　勤務先</t>
    <rPh sb="0" eb="1">
      <t>ト</t>
    </rPh>
    <rPh sb="5" eb="8">
      <t>キンムサキ</t>
    </rPh>
    <phoneticPr fontId="1"/>
  </si>
  <si>
    <t>問２－１　勤務先分類</t>
    <rPh sb="0" eb="1">
      <t>ト</t>
    </rPh>
    <rPh sb="5" eb="8">
      <t>キンムサキ</t>
    </rPh>
    <rPh sb="8" eb="10">
      <t>ブンルイ</t>
    </rPh>
    <phoneticPr fontId="1"/>
  </si>
  <si>
    <t>問２－２　雇用形態</t>
    <rPh sb="0" eb="1">
      <t>ト</t>
    </rPh>
    <rPh sb="5" eb="7">
      <t>コヨウ</t>
    </rPh>
    <rPh sb="7" eb="9">
      <t>ケイタイ</t>
    </rPh>
    <phoneticPr fontId="1"/>
  </si>
  <si>
    <t>任期付常勤の任期</t>
    <rPh sb="0" eb="2">
      <t>ニンキ</t>
    </rPh>
    <rPh sb="2" eb="3">
      <t>ツキ</t>
    </rPh>
    <rPh sb="3" eb="5">
      <t>ジョウキン</t>
    </rPh>
    <rPh sb="6" eb="8">
      <t>ニンキ</t>
    </rPh>
    <phoneticPr fontId="1"/>
  </si>
  <si>
    <t>問２－２　職名①②③　&lt;大学&gt;</t>
    <rPh sb="0" eb="1">
      <t>ト</t>
    </rPh>
    <rPh sb="5" eb="7">
      <t>ショクメイ</t>
    </rPh>
    <rPh sb="12" eb="14">
      <t>ダイガク</t>
    </rPh>
    <phoneticPr fontId="1"/>
  </si>
  <si>
    <t>問２－２　職名①②③　&lt;研究機関・民間企業&gt;</t>
    <rPh sb="0" eb="1">
      <t>ト</t>
    </rPh>
    <rPh sb="5" eb="7">
      <t>ショクメイ</t>
    </rPh>
    <phoneticPr fontId="1"/>
  </si>
  <si>
    <t>問２－２　職名④⑤</t>
    <rPh sb="0" eb="1">
      <t>ト</t>
    </rPh>
    <rPh sb="5" eb="7">
      <t>ショクメイ</t>
    </rPh>
    <phoneticPr fontId="1"/>
  </si>
  <si>
    <t>問２－２　職名⑥</t>
    <rPh sb="0" eb="1">
      <t>ト</t>
    </rPh>
    <rPh sb="5" eb="7">
      <t>ショクメイ</t>
    </rPh>
    <phoneticPr fontId="1"/>
  </si>
  <si>
    <t>問２－３</t>
    <phoneticPr fontId="1"/>
  </si>
  <si>
    <t>問２－４　①②③</t>
    <rPh sb="0" eb="1">
      <t>トイ</t>
    </rPh>
    <phoneticPr fontId="1"/>
  </si>
  <si>
    <t>問２－５</t>
    <rPh sb="0" eb="1">
      <t>トイ</t>
    </rPh>
    <phoneticPr fontId="1"/>
  </si>
  <si>
    <t>問２－６</t>
    <rPh sb="0" eb="1">
      <t>ト</t>
    </rPh>
    <phoneticPr fontId="5"/>
  </si>
  <si>
    <t>問３－１</t>
    <rPh sb="0" eb="1">
      <t>トイ</t>
    </rPh>
    <phoneticPr fontId="1"/>
  </si>
  <si>
    <t>問３－２　①専門職</t>
    <rPh sb="0" eb="1">
      <t>ト</t>
    </rPh>
    <rPh sb="6" eb="9">
      <t>センモンショク</t>
    </rPh>
    <phoneticPr fontId="1"/>
  </si>
  <si>
    <t>問３－２　②教育職</t>
    <rPh sb="0" eb="1">
      <t>ト</t>
    </rPh>
    <rPh sb="6" eb="8">
      <t>キョウイク</t>
    </rPh>
    <rPh sb="8" eb="9">
      <t>ショク</t>
    </rPh>
    <phoneticPr fontId="1"/>
  </si>
  <si>
    <t>問３－２　③技術職</t>
    <rPh sb="0" eb="1">
      <t>ト</t>
    </rPh>
    <rPh sb="6" eb="9">
      <t>ギジュツショク</t>
    </rPh>
    <phoneticPr fontId="1"/>
  </si>
  <si>
    <t>問３－２　④研究支援職</t>
    <rPh sb="0" eb="1">
      <t>ト</t>
    </rPh>
    <rPh sb="6" eb="8">
      <t>ケンキュウ</t>
    </rPh>
    <rPh sb="8" eb="11">
      <t>シエンショク</t>
    </rPh>
    <phoneticPr fontId="1"/>
  </si>
  <si>
    <t>問３－２　⑤経営者・役員等</t>
    <rPh sb="0" eb="1">
      <t>ト</t>
    </rPh>
    <rPh sb="6" eb="9">
      <t>ケイエイシャ</t>
    </rPh>
    <rPh sb="10" eb="12">
      <t>ヤクイン</t>
    </rPh>
    <rPh sb="12" eb="13">
      <t>トウ</t>
    </rPh>
    <phoneticPr fontId="1"/>
  </si>
  <si>
    <t>問３－２　⑥事務職・営業職・その他</t>
    <rPh sb="0" eb="1">
      <t>ト</t>
    </rPh>
    <rPh sb="6" eb="9">
      <t>ジムショク</t>
    </rPh>
    <rPh sb="10" eb="13">
      <t>エイギョウショク</t>
    </rPh>
    <rPh sb="16" eb="17">
      <t>タ</t>
    </rPh>
    <phoneticPr fontId="1"/>
  </si>
  <si>
    <t>問３－２　⑦学生</t>
    <rPh sb="0" eb="1">
      <t>ト</t>
    </rPh>
    <rPh sb="6" eb="8">
      <t>ガクセイ</t>
    </rPh>
    <phoneticPr fontId="1"/>
  </si>
  <si>
    <t>問３－２　⑧バイト等</t>
    <rPh sb="0" eb="1">
      <t>ト</t>
    </rPh>
    <rPh sb="9" eb="10">
      <t>トウ</t>
    </rPh>
    <phoneticPr fontId="1"/>
  </si>
  <si>
    <t>問３－２　⑨無職</t>
    <rPh sb="0" eb="1">
      <t>ト</t>
    </rPh>
    <rPh sb="6" eb="8">
      <t>ムショク</t>
    </rPh>
    <phoneticPr fontId="1"/>
  </si>
  <si>
    <t>問３－２　⑩その他</t>
    <rPh sb="0" eb="1">
      <t>ト</t>
    </rPh>
    <rPh sb="8" eb="9">
      <t>タ</t>
    </rPh>
    <phoneticPr fontId="1"/>
  </si>
  <si>
    <t>問３－３</t>
    <rPh sb="0" eb="1">
      <t>ト</t>
    </rPh>
    <phoneticPr fontId="1"/>
  </si>
  <si>
    <t>問３－４</t>
    <rPh sb="0" eb="1">
      <t>トイ</t>
    </rPh>
    <phoneticPr fontId="5"/>
  </si>
  <si>
    <t>問３－５</t>
    <rPh sb="0" eb="1">
      <t>トイ</t>
    </rPh>
    <phoneticPr fontId="5"/>
  </si>
  <si>
    <t>項目</t>
    <rPh sb="0" eb="2">
      <t>コウモク</t>
    </rPh>
    <phoneticPr fontId="1"/>
  </si>
  <si>
    <t>回答日</t>
    <rPh sb="0" eb="3">
      <t>カイトウビ</t>
    </rPh>
    <phoneticPr fontId="5"/>
  </si>
  <si>
    <t>氏名</t>
    <rPh sb="0" eb="2">
      <t>シメイ</t>
    </rPh>
    <phoneticPr fontId="1"/>
  </si>
  <si>
    <t>ﾌﾘｶﾞﾅ</t>
    <phoneticPr fontId="1"/>
  </si>
  <si>
    <t>生年月日</t>
    <rPh sb="0" eb="2">
      <t>セイネン</t>
    </rPh>
    <rPh sb="2" eb="4">
      <t>ガッピ</t>
    </rPh>
    <phoneticPr fontId="1"/>
  </si>
  <si>
    <t>採用年度</t>
    <rPh sb="0" eb="2">
      <t>サイヨウ</t>
    </rPh>
    <rPh sb="2" eb="4">
      <t>ネンド</t>
    </rPh>
    <phoneticPr fontId="1"/>
  </si>
  <si>
    <t>受付番号</t>
    <rPh sb="0" eb="2">
      <t>ウケツケ</t>
    </rPh>
    <rPh sb="2" eb="4">
      <t>バンゴウ</t>
    </rPh>
    <phoneticPr fontId="1"/>
  </si>
  <si>
    <t>住所</t>
    <rPh sb="0" eb="2">
      <t>ジュウショ</t>
    </rPh>
    <phoneticPr fontId="1"/>
  </si>
  <si>
    <t>電話</t>
    <rPh sb="0" eb="2">
      <t>デンワ</t>
    </rPh>
    <phoneticPr fontId="1"/>
  </si>
  <si>
    <t>メールアドレス</t>
    <phoneticPr fontId="1"/>
  </si>
  <si>
    <t>資格</t>
    <rPh sb="0" eb="2">
      <t>シカク</t>
    </rPh>
    <phoneticPr fontId="5"/>
  </si>
  <si>
    <t>職詳細</t>
    <rPh sb="0" eb="1">
      <t>ショク</t>
    </rPh>
    <rPh sb="1" eb="3">
      <t>ショウサイ</t>
    </rPh>
    <phoneticPr fontId="5"/>
  </si>
  <si>
    <t>任期・非常勤</t>
    <rPh sb="0" eb="2">
      <t>ニンキ</t>
    </rPh>
    <rPh sb="3" eb="6">
      <t>ヒジョウキン</t>
    </rPh>
    <phoneticPr fontId="5"/>
  </si>
  <si>
    <t>開始年</t>
    <rPh sb="0" eb="2">
      <t>カイシ</t>
    </rPh>
    <rPh sb="2" eb="3">
      <t>ネン</t>
    </rPh>
    <phoneticPr fontId="5"/>
  </si>
  <si>
    <t>開始月</t>
    <rPh sb="0" eb="2">
      <t>カイシ</t>
    </rPh>
    <rPh sb="2" eb="3">
      <t>ゲツ</t>
    </rPh>
    <phoneticPr fontId="5"/>
  </si>
  <si>
    <t>終了年</t>
    <rPh sb="0" eb="2">
      <t>シュウリョウ</t>
    </rPh>
    <rPh sb="2" eb="3">
      <t>ネン</t>
    </rPh>
    <phoneticPr fontId="5"/>
  </si>
  <si>
    <t>終了月</t>
    <rPh sb="0" eb="2">
      <t>シュウリョウ</t>
    </rPh>
    <rPh sb="2" eb="3">
      <t>ゲツ</t>
    </rPh>
    <phoneticPr fontId="5"/>
  </si>
  <si>
    <t>海特　終了年</t>
    <rPh sb="0" eb="2">
      <t>カイトク</t>
    </rPh>
    <rPh sb="3" eb="5">
      <t>シュウリョウ</t>
    </rPh>
    <rPh sb="5" eb="6">
      <t>ネン</t>
    </rPh>
    <phoneticPr fontId="1"/>
  </si>
  <si>
    <t>海特　終了月</t>
    <rPh sb="0" eb="2">
      <t>カイトク</t>
    </rPh>
    <rPh sb="3" eb="5">
      <t>シュウリョウ</t>
    </rPh>
    <rPh sb="5" eb="6">
      <t>ゲツ</t>
    </rPh>
    <phoneticPr fontId="1"/>
  </si>
  <si>
    <t>1：常勤・留任</t>
    <rPh sb="2" eb="4">
      <t>ジョウキン</t>
    </rPh>
    <rPh sb="5" eb="7">
      <t>リュウニン</t>
    </rPh>
    <phoneticPr fontId="1"/>
  </si>
  <si>
    <t>2：常勤（任期付）・留任</t>
    <rPh sb="2" eb="4">
      <t>ジョウキン</t>
    </rPh>
    <rPh sb="5" eb="7">
      <t>ニンキ</t>
    </rPh>
    <rPh sb="7" eb="8">
      <t>ツキ</t>
    </rPh>
    <rPh sb="10" eb="12">
      <t>リュウニン</t>
    </rPh>
    <phoneticPr fontId="1"/>
  </si>
  <si>
    <t>3：常勤・辞職</t>
    <rPh sb="2" eb="4">
      <t>ジョウキン</t>
    </rPh>
    <rPh sb="5" eb="7">
      <t>ジショク</t>
    </rPh>
    <phoneticPr fontId="1"/>
  </si>
  <si>
    <t>4：常勤（任期付）・辞職</t>
    <rPh sb="2" eb="4">
      <t>ジョウキン</t>
    </rPh>
    <rPh sb="5" eb="7">
      <t>ニンキ</t>
    </rPh>
    <rPh sb="7" eb="8">
      <t>ツ</t>
    </rPh>
    <rPh sb="10" eb="12">
      <t>ジショク</t>
    </rPh>
    <phoneticPr fontId="1"/>
  </si>
  <si>
    <t>5：常勤（任期付）・任期満了</t>
    <rPh sb="2" eb="4">
      <t>ジョウキン</t>
    </rPh>
    <rPh sb="5" eb="7">
      <t>ニンキ</t>
    </rPh>
    <rPh sb="7" eb="8">
      <t>ツ</t>
    </rPh>
    <rPh sb="10" eb="12">
      <t>ニンキ</t>
    </rPh>
    <rPh sb="12" eb="14">
      <t>マンリョウ</t>
    </rPh>
    <phoneticPr fontId="1"/>
  </si>
  <si>
    <t>6：資格Ⅱ</t>
    <rPh sb="2" eb="4">
      <t>シカク</t>
    </rPh>
    <phoneticPr fontId="1"/>
  </si>
  <si>
    <t>1：休職</t>
    <rPh sb="2" eb="4">
      <t>キュウショク</t>
    </rPh>
    <phoneticPr fontId="5"/>
  </si>
  <si>
    <t>2：出張</t>
    <rPh sb="2" eb="4">
      <t>シュッチョウ</t>
    </rPh>
    <phoneticPr fontId="5"/>
  </si>
  <si>
    <t>3：留学・研修</t>
    <rPh sb="2" eb="4">
      <t>リュウガク</t>
    </rPh>
    <rPh sb="5" eb="7">
      <t>ケンシュウ</t>
    </rPh>
    <phoneticPr fontId="5"/>
  </si>
  <si>
    <t>4：その他</t>
    <rPh sb="4" eb="5">
      <t>タ</t>
    </rPh>
    <phoneticPr fontId="5"/>
  </si>
  <si>
    <t>その他詳細</t>
    <rPh sb="2" eb="3">
      <t>タ</t>
    </rPh>
    <rPh sb="3" eb="5">
      <t>ショウサイ</t>
    </rPh>
    <phoneticPr fontId="5"/>
  </si>
  <si>
    <t>1：有給</t>
    <rPh sb="2" eb="4">
      <t>ユウキュウ</t>
    </rPh>
    <phoneticPr fontId="5"/>
  </si>
  <si>
    <t>1：サバティカル利用あり</t>
    <rPh sb="8" eb="10">
      <t>リヨウ</t>
    </rPh>
    <phoneticPr fontId="5"/>
  </si>
  <si>
    <t>1：申請時の職を継続</t>
    <rPh sb="2" eb="4">
      <t>シンセイ</t>
    </rPh>
    <rPh sb="4" eb="5">
      <t>ジ</t>
    </rPh>
    <rPh sb="6" eb="7">
      <t>ショク</t>
    </rPh>
    <rPh sb="8" eb="10">
      <t>ケイゾク</t>
    </rPh>
    <phoneticPr fontId="5"/>
  </si>
  <si>
    <t>2：辞職し別職</t>
    <rPh sb="2" eb="4">
      <t>ジショク</t>
    </rPh>
    <rPh sb="5" eb="6">
      <t>ベツ</t>
    </rPh>
    <rPh sb="6" eb="7">
      <t>ショク</t>
    </rPh>
    <phoneticPr fontId="5"/>
  </si>
  <si>
    <t>3：その他</t>
    <rPh sb="4" eb="5">
      <t>タ</t>
    </rPh>
    <phoneticPr fontId="5"/>
  </si>
  <si>
    <t>1：申請から採用前</t>
    <rPh sb="2" eb="4">
      <t>シンセイ</t>
    </rPh>
    <rPh sb="6" eb="8">
      <t>サイヨウ</t>
    </rPh>
    <rPh sb="8" eb="9">
      <t>マエ</t>
    </rPh>
    <phoneticPr fontId="5"/>
  </si>
  <si>
    <t>2：採用に伴い</t>
    <rPh sb="2" eb="4">
      <t>サイヨウ</t>
    </rPh>
    <rPh sb="5" eb="6">
      <t>トモナ</t>
    </rPh>
    <phoneticPr fontId="5"/>
  </si>
  <si>
    <t>3：採用中</t>
    <rPh sb="2" eb="5">
      <t>サイヨウチュウ</t>
    </rPh>
    <phoneticPr fontId="5"/>
  </si>
  <si>
    <t>1：前職に復帰</t>
    <rPh sb="2" eb="4">
      <t>ゼンショク</t>
    </rPh>
    <rPh sb="5" eb="7">
      <t>フッキ</t>
    </rPh>
    <phoneticPr fontId="5"/>
  </si>
  <si>
    <t>2：前職とは別職</t>
    <rPh sb="2" eb="4">
      <t>ゼンショク</t>
    </rPh>
    <rPh sb="6" eb="7">
      <t>ベツ</t>
    </rPh>
    <rPh sb="7" eb="8">
      <t>ショク</t>
    </rPh>
    <phoneticPr fontId="5"/>
  </si>
  <si>
    <t>3：終了後未就職</t>
    <rPh sb="2" eb="5">
      <t>シュウリョウゴ</t>
    </rPh>
    <rPh sb="5" eb="6">
      <t>ミ</t>
    </rPh>
    <rPh sb="6" eb="8">
      <t>シュウショク</t>
    </rPh>
    <phoneticPr fontId="5"/>
  </si>
  <si>
    <t>1：研究職</t>
    <rPh sb="2" eb="5">
      <t>ケンキュウショク</t>
    </rPh>
    <phoneticPr fontId="1"/>
  </si>
  <si>
    <t>2：非研究職等</t>
    <rPh sb="2" eb="3">
      <t>ヒ</t>
    </rPh>
    <rPh sb="3" eb="7">
      <t>ケンキュウショクトウ</t>
    </rPh>
    <phoneticPr fontId="1"/>
  </si>
  <si>
    <t>機関名および部局名・部署名</t>
    <rPh sb="0" eb="3">
      <t>キカンメイ</t>
    </rPh>
    <rPh sb="6" eb="9">
      <t>ブキョクメイ</t>
    </rPh>
    <rPh sb="10" eb="13">
      <t>ブショメイ</t>
    </rPh>
    <phoneticPr fontId="1"/>
  </si>
  <si>
    <t>1：国立大学法人</t>
    <rPh sb="2" eb="4">
      <t>コクリツ</t>
    </rPh>
    <rPh sb="4" eb="6">
      <t>ダイガク</t>
    </rPh>
    <rPh sb="6" eb="8">
      <t>ホウジン</t>
    </rPh>
    <phoneticPr fontId="1"/>
  </si>
  <si>
    <t>2：公立大学</t>
    <rPh sb="2" eb="4">
      <t>コウリツ</t>
    </rPh>
    <rPh sb="4" eb="6">
      <t>ダイガク</t>
    </rPh>
    <phoneticPr fontId="1"/>
  </si>
  <si>
    <t>3：私立大学</t>
    <rPh sb="2" eb="4">
      <t>シリツ</t>
    </rPh>
    <rPh sb="4" eb="6">
      <t>ダイガク</t>
    </rPh>
    <phoneticPr fontId="1"/>
  </si>
  <si>
    <t>4：高等専門学校</t>
    <rPh sb="2" eb="4">
      <t>コウトウ</t>
    </rPh>
    <rPh sb="4" eb="6">
      <t>センモン</t>
    </rPh>
    <rPh sb="6" eb="8">
      <t>ガッコウ</t>
    </rPh>
    <phoneticPr fontId="1"/>
  </si>
  <si>
    <t>5：海外の大学</t>
    <rPh sb="2" eb="4">
      <t>カイガイ</t>
    </rPh>
    <rPh sb="5" eb="7">
      <t>ダイガク</t>
    </rPh>
    <phoneticPr fontId="1"/>
  </si>
  <si>
    <t>6：国公立（独法含む）の研究機関等</t>
    <rPh sb="2" eb="5">
      <t>コッコウリツ</t>
    </rPh>
    <rPh sb="6" eb="7">
      <t>ドク</t>
    </rPh>
    <rPh sb="7" eb="8">
      <t>ホウ</t>
    </rPh>
    <rPh sb="8" eb="9">
      <t>フク</t>
    </rPh>
    <rPh sb="12" eb="14">
      <t>ケンキュウ</t>
    </rPh>
    <rPh sb="14" eb="16">
      <t>キカン</t>
    </rPh>
    <rPh sb="16" eb="17">
      <t>トウ</t>
    </rPh>
    <phoneticPr fontId="1"/>
  </si>
  <si>
    <t>7：海外の研究機関等</t>
    <rPh sb="2" eb="4">
      <t>カイガイ</t>
    </rPh>
    <rPh sb="5" eb="7">
      <t>ケンキュウ</t>
    </rPh>
    <rPh sb="7" eb="9">
      <t>キカン</t>
    </rPh>
    <rPh sb="9" eb="10">
      <t>トウ</t>
    </rPh>
    <phoneticPr fontId="1"/>
  </si>
  <si>
    <t>8：財団等研究法人</t>
    <rPh sb="2" eb="4">
      <t>ザイダン</t>
    </rPh>
    <rPh sb="4" eb="5">
      <t>トウ</t>
    </rPh>
    <rPh sb="5" eb="7">
      <t>ケンキュウ</t>
    </rPh>
    <rPh sb="7" eb="9">
      <t>ホウジン</t>
    </rPh>
    <phoneticPr fontId="1"/>
  </si>
  <si>
    <t>9：民間企業</t>
    <rPh sb="2" eb="4">
      <t>ミンカン</t>
    </rPh>
    <rPh sb="4" eb="6">
      <t>キギョウ</t>
    </rPh>
    <phoneticPr fontId="1"/>
  </si>
  <si>
    <t>10：海外の民間企業</t>
    <rPh sb="3" eb="5">
      <t>カイガイ</t>
    </rPh>
    <rPh sb="6" eb="8">
      <t>ミンカン</t>
    </rPh>
    <rPh sb="8" eb="10">
      <t>キギョウ</t>
    </rPh>
    <phoneticPr fontId="5"/>
  </si>
  <si>
    <t>1：常勤（任期なし）</t>
    <rPh sb="2" eb="4">
      <t>ジョウキン</t>
    </rPh>
    <rPh sb="5" eb="7">
      <t>ニンキ</t>
    </rPh>
    <phoneticPr fontId="1"/>
  </si>
  <si>
    <t>2：常勤（ﾃﾆｭｱﾄﾗｯｸ）</t>
    <rPh sb="2" eb="4">
      <t>ジョウキン</t>
    </rPh>
    <phoneticPr fontId="1"/>
  </si>
  <si>
    <t>3：常勤（任期付）</t>
    <rPh sb="2" eb="4">
      <t>ジョウキン</t>
    </rPh>
    <rPh sb="5" eb="7">
      <t>ニンキ</t>
    </rPh>
    <rPh sb="7" eb="8">
      <t>ツ</t>
    </rPh>
    <phoneticPr fontId="1"/>
  </si>
  <si>
    <t>4：ﾌｪﾛｰｼｯﾌﾟ</t>
    <phoneticPr fontId="1"/>
  </si>
  <si>
    <t>5：ﾎﾟｽﾄﾞｸ</t>
    <phoneticPr fontId="1"/>
  </si>
  <si>
    <t>6：週30時間未満</t>
    <rPh sb="2" eb="3">
      <t>シュウ</t>
    </rPh>
    <rPh sb="5" eb="7">
      <t>ジカン</t>
    </rPh>
    <rPh sb="7" eb="9">
      <t>ミマン</t>
    </rPh>
    <phoneticPr fontId="1"/>
  </si>
  <si>
    <t>開始年</t>
    <rPh sb="0" eb="2">
      <t>カイシ</t>
    </rPh>
    <rPh sb="2" eb="3">
      <t>ネン</t>
    </rPh>
    <phoneticPr fontId="1"/>
  </si>
  <si>
    <t>開始月</t>
    <rPh sb="0" eb="2">
      <t>カイシ</t>
    </rPh>
    <rPh sb="2" eb="3">
      <t>ゲツ</t>
    </rPh>
    <phoneticPr fontId="1"/>
  </si>
  <si>
    <t>終了年</t>
    <rPh sb="0" eb="2">
      <t>シュウリョウ</t>
    </rPh>
    <rPh sb="2" eb="3">
      <t>ネン</t>
    </rPh>
    <phoneticPr fontId="1"/>
  </si>
  <si>
    <t>終了月</t>
    <rPh sb="0" eb="2">
      <t>シュウリョウ</t>
    </rPh>
    <rPh sb="2" eb="3">
      <t>ゲツ</t>
    </rPh>
    <phoneticPr fontId="1"/>
  </si>
  <si>
    <t>更新有り</t>
    <rPh sb="0" eb="2">
      <t>コウシン</t>
    </rPh>
    <rPh sb="2" eb="3">
      <t>アリ</t>
    </rPh>
    <phoneticPr fontId="1"/>
  </si>
  <si>
    <t>最長更新年数</t>
    <rPh sb="0" eb="2">
      <t>サイチョウ</t>
    </rPh>
    <rPh sb="2" eb="4">
      <t>コウシン</t>
    </rPh>
    <rPh sb="4" eb="5">
      <t>ネン</t>
    </rPh>
    <rPh sb="5" eb="6">
      <t>スウ</t>
    </rPh>
    <phoneticPr fontId="1"/>
  </si>
  <si>
    <t>更新無し</t>
    <rPh sb="0" eb="2">
      <t>コウシン</t>
    </rPh>
    <rPh sb="2" eb="3">
      <t>ナシ</t>
    </rPh>
    <phoneticPr fontId="1"/>
  </si>
  <si>
    <t>1：教授</t>
    <rPh sb="2" eb="4">
      <t>キョウジュ</t>
    </rPh>
    <phoneticPr fontId="1"/>
  </si>
  <si>
    <t>2：准教授</t>
    <rPh sb="2" eb="5">
      <t>ジュンキョウジュ</t>
    </rPh>
    <phoneticPr fontId="1"/>
  </si>
  <si>
    <t>3：講師</t>
    <rPh sb="2" eb="4">
      <t>コウシ</t>
    </rPh>
    <phoneticPr fontId="1"/>
  </si>
  <si>
    <t>4：助教</t>
    <rPh sb="2" eb="4">
      <t>ジョキョウ</t>
    </rPh>
    <phoneticPr fontId="1"/>
  </si>
  <si>
    <t>5：助手</t>
    <rPh sb="2" eb="4">
      <t>ジョシュ</t>
    </rPh>
    <phoneticPr fontId="1"/>
  </si>
  <si>
    <t>6：研究員</t>
    <rPh sb="2" eb="5">
      <t>ケンキュウイン</t>
    </rPh>
    <phoneticPr fontId="1"/>
  </si>
  <si>
    <t>7：その他</t>
    <rPh sb="4" eb="5">
      <t>タ</t>
    </rPh>
    <phoneticPr fontId="1"/>
  </si>
  <si>
    <t>その他詳細</t>
    <rPh sb="2" eb="3">
      <t>タ</t>
    </rPh>
    <rPh sb="3" eb="5">
      <t>ショウサイ</t>
    </rPh>
    <phoneticPr fontId="1"/>
  </si>
  <si>
    <t>8：ＰＩ</t>
    <phoneticPr fontId="1"/>
  </si>
  <si>
    <t>9：その他の研究員等</t>
    <rPh sb="4" eb="5">
      <t>タ</t>
    </rPh>
    <rPh sb="6" eb="9">
      <t>ケンキュウイン</t>
    </rPh>
    <rPh sb="9" eb="10">
      <t>トウ</t>
    </rPh>
    <phoneticPr fontId="1"/>
  </si>
  <si>
    <t>10：ﾌｪﾛｰｼｯﾌﾟ</t>
    <phoneticPr fontId="1"/>
  </si>
  <si>
    <t>事業・制度名</t>
    <rPh sb="0" eb="2">
      <t>ジギョウ</t>
    </rPh>
    <rPh sb="3" eb="5">
      <t>セイド</t>
    </rPh>
    <rPh sb="5" eb="6">
      <t>メイ</t>
    </rPh>
    <phoneticPr fontId="1"/>
  </si>
  <si>
    <t>11：ﾎﾟｽﾄﾞｸ</t>
    <phoneticPr fontId="1"/>
  </si>
  <si>
    <t>雇用財源名</t>
    <rPh sb="0" eb="2">
      <t>コヨウ</t>
    </rPh>
    <rPh sb="2" eb="4">
      <t>ザイゲン</t>
    </rPh>
    <rPh sb="4" eb="5">
      <t>メイ</t>
    </rPh>
    <phoneticPr fontId="1"/>
  </si>
  <si>
    <t>12：その他</t>
    <rPh sb="5" eb="6">
      <t>タ</t>
    </rPh>
    <phoneticPr fontId="1"/>
  </si>
  <si>
    <t>13：非常勤講師</t>
    <rPh sb="3" eb="6">
      <t>ヒジョウキン</t>
    </rPh>
    <rPh sb="6" eb="8">
      <t>コウシ</t>
    </rPh>
    <phoneticPr fontId="1"/>
  </si>
  <si>
    <t>14：非常勤研究員</t>
    <rPh sb="3" eb="6">
      <t>ヒジョウキン</t>
    </rPh>
    <rPh sb="6" eb="9">
      <t>ケンキュウイン</t>
    </rPh>
    <phoneticPr fontId="5"/>
  </si>
  <si>
    <t>15：その他</t>
    <rPh sb="5" eb="6">
      <t>タ</t>
    </rPh>
    <phoneticPr fontId="1"/>
  </si>
  <si>
    <t>1：非常に役に立った</t>
    <rPh sb="2" eb="4">
      <t>ヒジョウ</t>
    </rPh>
    <rPh sb="5" eb="6">
      <t>ヤク</t>
    </rPh>
    <rPh sb="7" eb="8">
      <t>タ</t>
    </rPh>
    <phoneticPr fontId="1"/>
  </si>
  <si>
    <t>2：役立った</t>
    <rPh sb="2" eb="3">
      <t>ヤク</t>
    </rPh>
    <rPh sb="3" eb="4">
      <t>タ</t>
    </rPh>
    <phoneticPr fontId="1"/>
  </si>
  <si>
    <t>3：どちらかと言えば役だった</t>
    <rPh sb="7" eb="8">
      <t>イ</t>
    </rPh>
    <rPh sb="10" eb="11">
      <t>ヤク</t>
    </rPh>
    <phoneticPr fontId="1"/>
  </si>
  <si>
    <t>4：どちらとも言えない</t>
    <rPh sb="7" eb="8">
      <t>イ</t>
    </rPh>
    <phoneticPr fontId="1"/>
  </si>
  <si>
    <t>5：役立たなかった</t>
    <rPh sb="2" eb="4">
      <t>ヤクダ</t>
    </rPh>
    <phoneticPr fontId="1"/>
  </si>
  <si>
    <t>④⑤の理由</t>
    <phoneticPr fontId="1"/>
  </si>
  <si>
    <t>1：研究能力身についた</t>
    <rPh sb="2" eb="4">
      <t>ケンキュウ</t>
    </rPh>
    <rPh sb="4" eb="6">
      <t>ノウリョク</t>
    </rPh>
    <rPh sb="6" eb="7">
      <t>ミ</t>
    </rPh>
    <phoneticPr fontId="1"/>
  </si>
  <si>
    <t>2：現在につながる</t>
    <rPh sb="2" eb="4">
      <t>ゲンザイ</t>
    </rPh>
    <phoneticPr fontId="1"/>
  </si>
  <si>
    <t>3：自分のテーマ</t>
    <rPh sb="2" eb="4">
      <t>ジブン</t>
    </rPh>
    <phoneticPr fontId="1"/>
  </si>
  <si>
    <t>4：経済的不安</t>
    <rPh sb="2" eb="5">
      <t>ケイザイテキ</t>
    </rPh>
    <rPh sb="5" eb="7">
      <t>フアン</t>
    </rPh>
    <phoneticPr fontId="1"/>
  </si>
  <si>
    <t>5：海外経験</t>
    <rPh sb="2" eb="4">
      <t>カイガイ</t>
    </rPh>
    <rPh sb="4" eb="6">
      <t>ケイケン</t>
    </rPh>
    <phoneticPr fontId="1"/>
  </si>
  <si>
    <t>6：業績増えた</t>
    <rPh sb="2" eb="4">
      <t>ギョウセキ</t>
    </rPh>
    <rPh sb="4" eb="5">
      <t>フ</t>
    </rPh>
    <phoneticPr fontId="1"/>
  </si>
  <si>
    <t>7：人脈・交流</t>
    <rPh sb="2" eb="4">
      <t>ジンミャク</t>
    </rPh>
    <rPh sb="5" eb="7">
      <t>コウリュウ</t>
    </rPh>
    <phoneticPr fontId="1"/>
  </si>
  <si>
    <t>8：就職に役立った</t>
    <rPh sb="2" eb="4">
      <t>シュウショク</t>
    </rPh>
    <rPh sb="5" eb="7">
      <t>ヤクダ</t>
    </rPh>
    <phoneticPr fontId="1"/>
  </si>
  <si>
    <t>9：その他</t>
    <rPh sb="4" eb="5">
      <t>タ</t>
    </rPh>
    <phoneticPr fontId="1"/>
  </si>
  <si>
    <t>受賞歴</t>
    <rPh sb="0" eb="3">
      <t>ジュショウレキ</t>
    </rPh>
    <phoneticPr fontId="1"/>
  </si>
  <si>
    <t>その他意見</t>
    <rPh sb="2" eb="3">
      <t>タ</t>
    </rPh>
    <rPh sb="3" eb="5">
      <t>イケン</t>
    </rPh>
    <phoneticPr fontId="5"/>
  </si>
  <si>
    <t>勤務先</t>
    <rPh sb="0" eb="3">
      <t>キンムサキ</t>
    </rPh>
    <phoneticPr fontId="1"/>
  </si>
  <si>
    <t>1-1：医師</t>
    <rPh sb="4" eb="6">
      <t>イシ</t>
    </rPh>
    <phoneticPr fontId="1"/>
  </si>
  <si>
    <t>1-2：弁護士</t>
    <rPh sb="4" eb="7">
      <t>ベンゴシ</t>
    </rPh>
    <phoneticPr fontId="1"/>
  </si>
  <si>
    <t>1-3：弁理士</t>
    <rPh sb="4" eb="7">
      <t>ベンリシ</t>
    </rPh>
    <phoneticPr fontId="1"/>
  </si>
  <si>
    <t>1-4：サイエンスライター</t>
    <phoneticPr fontId="1"/>
  </si>
  <si>
    <t>1-5：学芸員</t>
    <rPh sb="4" eb="7">
      <t>ガクゲイイン</t>
    </rPh>
    <phoneticPr fontId="1"/>
  </si>
  <si>
    <t>1-6：特許審査官</t>
    <rPh sb="4" eb="6">
      <t>トッキョ</t>
    </rPh>
    <rPh sb="6" eb="9">
      <t>シンサカン</t>
    </rPh>
    <phoneticPr fontId="1"/>
  </si>
  <si>
    <t>1-7：コンサルタント</t>
    <phoneticPr fontId="1"/>
  </si>
  <si>
    <t>1-8：その他</t>
    <rPh sb="6" eb="7">
      <t>タ</t>
    </rPh>
    <phoneticPr fontId="1"/>
  </si>
  <si>
    <t>2-1：大学等高等教育機関</t>
    <rPh sb="4" eb="6">
      <t>ダイガク</t>
    </rPh>
    <rPh sb="6" eb="7">
      <t>トウ</t>
    </rPh>
    <rPh sb="7" eb="9">
      <t>コウトウ</t>
    </rPh>
    <rPh sb="9" eb="11">
      <t>キョウイク</t>
    </rPh>
    <rPh sb="11" eb="13">
      <t>キカン</t>
    </rPh>
    <phoneticPr fontId="1"/>
  </si>
  <si>
    <t>2-2：高等専門学校</t>
    <rPh sb="4" eb="6">
      <t>コウトウ</t>
    </rPh>
    <rPh sb="6" eb="8">
      <t>センモン</t>
    </rPh>
    <rPh sb="8" eb="10">
      <t>ガッコウ</t>
    </rPh>
    <phoneticPr fontId="1"/>
  </si>
  <si>
    <t>2-3：高校</t>
    <rPh sb="4" eb="6">
      <t>コウコウ</t>
    </rPh>
    <phoneticPr fontId="1"/>
  </si>
  <si>
    <t>2-4：その他</t>
    <rPh sb="6" eb="7">
      <t>タ</t>
    </rPh>
    <phoneticPr fontId="1"/>
  </si>
  <si>
    <t>3-1：民間企業の製品開発部門、工場部門等</t>
    <rPh sb="4" eb="6">
      <t>ミンカン</t>
    </rPh>
    <rPh sb="6" eb="8">
      <t>キギョウ</t>
    </rPh>
    <rPh sb="9" eb="11">
      <t>セイヒン</t>
    </rPh>
    <rPh sb="11" eb="13">
      <t>カイハツ</t>
    </rPh>
    <rPh sb="13" eb="15">
      <t>ブモン</t>
    </rPh>
    <rPh sb="16" eb="18">
      <t>コウジョウ</t>
    </rPh>
    <rPh sb="18" eb="20">
      <t>ブモン</t>
    </rPh>
    <rPh sb="20" eb="21">
      <t>トウ</t>
    </rPh>
    <phoneticPr fontId="1"/>
  </si>
  <si>
    <t>3-2：大学・研究機関のテクニシャン、研究補助職</t>
    <rPh sb="4" eb="6">
      <t>ダイガク</t>
    </rPh>
    <rPh sb="7" eb="9">
      <t>ケンキュウ</t>
    </rPh>
    <rPh sb="9" eb="11">
      <t>キカン</t>
    </rPh>
    <rPh sb="19" eb="21">
      <t>ケンキュウ</t>
    </rPh>
    <rPh sb="21" eb="23">
      <t>ホジョ</t>
    </rPh>
    <rPh sb="23" eb="24">
      <t>ショク</t>
    </rPh>
    <phoneticPr fontId="1"/>
  </si>
  <si>
    <t>3-3：その他</t>
    <rPh sb="6" eb="7">
      <t>タ</t>
    </rPh>
    <phoneticPr fontId="1"/>
  </si>
  <si>
    <t>4-1：大学事務職員</t>
    <rPh sb="4" eb="6">
      <t>ダイガク</t>
    </rPh>
    <rPh sb="6" eb="8">
      <t>ジム</t>
    </rPh>
    <rPh sb="8" eb="10">
      <t>ショクイン</t>
    </rPh>
    <phoneticPr fontId="1"/>
  </si>
  <si>
    <t>4-2：研究機関事務職員</t>
    <rPh sb="4" eb="6">
      <t>ケンキュウ</t>
    </rPh>
    <rPh sb="6" eb="8">
      <t>キカン</t>
    </rPh>
    <rPh sb="8" eb="10">
      <t>ジム</t>
    </rPh>
    <rPh sb="10" eb="12">
      <t>ショクイン</t>
    </rPh>
    <phoneticPr fontId="1"/>
  </si>
  <si>
    <t>4-3：ＴＬＯ</t>
    <phoneticPr fontId="1"/>
  </si>
  <si>
    <t>4-4：ファンディングエージェンシー</t>
    <phoneticPr fontId="1"/>
  </si>
  <si>
    <t>4-5：その他</t>
    <rPh sb="6" eb="7">
      <t>タ</t>
    </rPh>
    <phoneticPr fontId="1"/>
  </si>
  <si>
    <t>5-1：民間企業（*ベンチャー創業を除く）</t>
    <rPh sb="4" eb="6">
      <t>ミンカン</t>
    </rPh>
    <rPh sb="6" eb="8">
      <t>キギョウ</t>
    </rPh>
    <rPh sb="15" eb="17">
      <t>ソウギョウ</t>
    </rPh>
    <rPh sb="18" eb="19">
      <t>ノゾ</t>
    </rPh>
    <phoneticPr fontId="1"/>
  </si>
  <si>
    <t>5-2：ベンチャー創業</t>
    <rPh sb="9" eb="11">
      <t>ソウギョウ</t>
    </rPh>
    <phoneticPr fontId="1"/>
  </si>
  <si>
    <t>5-3：その他</t>
    <rPh sb="6" eb="7">
      <t>タ</t>
    </rPh>
    <phoneticPr fontId="1"/>
  </si>
  <si>
    <t>6-：公的機関</t>
    <rPh sb="3" eb="5">
      <t>コウテキ</t>
    </rPh>
    <rPh sb="5" eb="7">
      <t>キカン</t>
    </rPh>
    <phoneticPr fontId="1"/>
  </si>
  <si>
    <t>6-2：民間企業</t>
    <rPh sb="4" eb="6">
      <t>ミンカン</t>
    </rPh>
    <rPh sb="6" eb="8">
      <t>キギョウ</t>
    </rPh>
    <phoneticPr fontId="1"/>
  </si>
  <si>
    <t>6-3：財団</t>
    <rPh sb="4" eb="6">
      <t>ザイダン</t>
    </rPh>
    <phoneticPr fontId="1"/>
  </si>
  <si>
    <t>6-4：ＮＰＯ</t>
    <phoneticPr fontId="1"/>
  </si>
  <si>
    <t>6-5：その他</t>
    <rPh sb="6" eb="7">
      <t>タ</t>
    </rPh>
    <phoneticPr fontId="1"/>
  </si>
  <si>
    <t>7-1：研究生、研修生</t>
    <rPh sb="4" eb="7">
      <t>ケンキュウセイ</t>
    </rPh>
    <rPh sb="8" eb="11">
      <t>ケンシュウセイ</t>
    </rPh>
    <phoneticPr fontId="1"/>
  </si>
  <si>
    <t>7-2：大学院生</t>
    <rPh sb="4" eb="8">
      <t>ダイガクインセイ</t>
    </rPh>
    <phoneticPr fontId="1"/>
  </si>
  <si>
    <t>7-3：国外留学</t>
    <rPh sb="4" eb="6">
      <t>コクガイ</t>
    </rPh>
    <rPh sb="6" eb="8">
      <t>リュウガク</t>
    </rPh>
    <phoneticPr fontId="1"/>
  </si>
  <si>
    <t>7-4：その他</t>
    <rPh sb="6" eb="7">
      <t>タ</t>
    </rPh>
    <phoneticPr fontId="1"/>
  </si>
  <si>
    <t>8：パートアルバイト</t>
    <phoneticPr fontId="1"/>
  </si>
  <si>
    <t>9：無職</t>
    <rPh sb="2" eb="4">
      <t>ムショク</t>
    </rPh>
    <phoneticPr fontId="1"/>
  </si>
  <si>
    <t>10：その他</t>
    <rPh sb="5" eb="6">
      <t>タ</t>
    </rPh>
    <phoneticPr fontId="1"/>
  </si>
  <si>
    <t>理由</t>
    <phoneticPr fontId="1"/>
  </si>
  <si>
    <t>意見・要望</t>
    <rPh sb="0" eb="2">
      <t>イケン</t>
    </rPh>
    <rPh sb="3" eb="5">
      <t>ヨウボウ</t>
    </rPh>
    <phoneticPr fontId="5"/>
  </si>
  <si>
    <t>チェック情報(TRUE or FALSE)</t>
    <rPh sb="4" eb="6">
      <t>ジョウホウ</t>
    </rPh>
    <phoneticPr fontId="1"/>
  </si>
  <si>
    <t>データ集計用フィールド</t>
    <rPh sb="3" eb="6">
      <t>シュウケイヨウ</t>
    </rPh>
    <phoneticPr fontId="1"/>
  </si>
  <si>
    <t>※　データ提出時には、入力されたデータの集計に必要ですので、「集計票」も含めて本会に提出（メールにて送信）してください。</t>
    <rPh sb="5" eb="7">
      <t>テイシュツ</t>
    </rPh>
    <rPh sb="7" eb="8">
      <t>ジ</t>
    </rPh>
    <rPh sb="11" eb="13">
      <t>ニュウリョク</t>
    </rPh>
    <rPh sb="20" eb="22">
      <t>シュウケイ</t>
    </rPh>
    <rPh sb="23" eb="25">
      <t>ヒツヨウ</t>
    </rPh>
    <rPh sb="31" eb="33">
      <t>シュウケイ</t>
    </rPh>
    <rPh sb="33" eb="34">
      <t>ヒョウ</t>
    </rPh>
    <rPh sb="36" eb="37">
      <t>フク</t>
    </rPh>
    <rPh sb="39" eb="41">
      <t>ホンカイ</t>
    </rPh>
    <rPh sb="42" eb="44">
      <t>テイシュツ</t>
    </rPh>
    <rPh sb="50" eb="52">
      <t>ソウシン</t>
    </rPh>
    <phoneticPr fontId="5"/>
  </si>
  <si>
    <t>＜様式3-3＞</t>
    <phoneticPr fontId="5"/>
  </si>
  <si>
    <t>令和　　　7年　　　12月　　　12日</t>
    <rPh sb="6" eb="7">
      <t>ネン</t>
    </rPh>
    <rPh sb="12" eb="13">
      <t>ガツ</t>
    </rPh>
    <rPh sb="18" eb="19">
      <t>ニチ</t>
    </rPh>
    <phoneticPr fontId="5"/>
  </si>
  <si>
    <t>萩原　佑紀</t>
    <rPh sb="0" eb="2">
      <t>ハギワラ</t>
    </rPh>
    <rPh sb="3" eb="4">
      <t>ユウ</t>
    </rPh>
    <rPh sb="4" eb="5">
      <t>キ</t>
    </rPh>
    <phoneticPr fontId="5"/>
  </si>
  <si>
    <t>大阪府箕面市小野原東2-10-16 石塚ハイム406</t>
    <rPh sb="0" eb="10">
      <t>562-0031</t>
    </rPh>
    <rPh sb="18" eb="20">
      <t>イシヅカ</t>
    </rPh>
    <phoneticPr fontId="5"/>
  </si>
  <si>
    <t>08058620514</t>
    <phoneticPr fontId="5"/>
  </si>
  <si>
    <t>yhagiwara@biken.osaka-u.ac.jp</t>
    <phoneticPr fontId="5"/>
  </si>
  <si>
    <t>Ⅱ</t>
  </si>
  <si>
    <t>任期付</t>
  </si>
  <si>
    <t>日本・大阪大学　微生物病研究所　特任助教</t>
    <rPh sb="0" eb="2">
      <t>ニホン</t>
    </rPh>
    <rPh sb="3" eb="5">
      <t>オオサカ</t>
    </rPh>
    <rPh sb="5" eb="7">
      <t>ダイガク</t>
    </rPh>
    <rPh sb="8" eb="11">
      <t>ビセイブツ</t>
    </rPh>
    <rPh sb="11" eb="12">
      <t>ビョウ</t>
    </rPh>
    <rPh sb="12" eb="15">
      <t>ケンキュウショ</t>
    </rPh>
    <rPh sb="16" eb="18">
      <t>トクニン</t>
    </rPh>
    <rPh sb="18" eb="20">
      <t>ジョキョウ</t>
    </rPh>
    <phoneticPr fontId="5"/>
  </si>
  <si>
    <t>大阪大学　微生物病研究所</t>
    <rPh sb="0" eb="4">
      <t>オオサカダイガク</t>
    </rPh>
    <rPh sb="5" eb="12">
      <t>ビセイブツビョウケンキュウジョ</t>
    </rPh>
    <phoneticPr fontId="5"/>
  </si>
  <si>
    <t>第41回井上研究奨励賞、公益財団法人　井上科学振興財団、光熱効果による有機結晶の高速アクチュエーション、2025年2月5日</t>
    <rPh sb="12" eb="18">
      <t>コウエキザイダンホウジン</t>
    </rPh>
    <rPh sb="19" eb="21">
      <t>イノウエ</t>
    </rPh>
    <rPh sb="21" eb="23">
      <t>カガク</t>
    </rPh>
    <rPh sb="23" eb="25">
      <t>シンコウ</t>
    </rPh>
    <rPh sb="25" eb="27">
      <t>ザイダン</t>
    </rPh>
    <rPh sb="56" eb="57">
      <t>ネン</t>
    </rPh>
    <rPh sb="58" eb="59">
      <t>ガツ</t>
    </rPh>
    <rPh sb="60" eb="61">
      <t>ニチ</t>
    </rPh>
    <phoneticPr fontId="5"/>
  </si>
  <si>
    <t>特になし</t>
    <rPh sb="0" eb="1">
      <t>トク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</si>
</sst>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411]ggge&quot;年&quot;m&quot;月&quot;d&quot;日&quot;;@"/>
    <numFmt numFmtId="178" formatCode="\(@\)"/>
    <numFmt numFmtId="179" formatCode="[$-411]ge\.m\.d;@"/>
  </numFmts>
  <fonts count="35" x14ac:knownFonts="1">
    <font>
      <sz val="10"/>
      <color theme="1"/>
      <name val="ＭＳ Ｐゴシック"/>
      <family val="3"/>
      <charset val="128"/>
      <scheme val="minor"/>
    </font>
    <font>
      <sz val="6"/>
      <name val="ＭＳ Ｐゴシック"/>
      <family val="3"/>
      <charset val="128"/>
    </font>
    <font>
      <sz val="8"/>
      <color indexed="8"/>
      <name val="ＭＳ 明朝"/>
      <family val="1"/>
      <charset val="128"/>
    </font>
    <font>
      <sz val="6"/>
      <name val="ＭＳ Ｐゴシック"/>
      <family val="3"/>
      <charset val="128"/>
    </font>
    <font>
      <sz val="11"/>
      <color indexed="8"/>
      <name val="ＭＳ 明朝"/>
      <family val="1"/>
      <charset val="128"/>
    </font>
    <font>
      <sz val="6"/>
      <name val="ＭＳ Ｐゴシック"/>
      <family val="3"/>
      <charset val="128"/>
    </font>
    <font>
      <b/>
      <sz val="12"/>
      <color indexed="8"/>
      <name val="ＭＳ ゴシック"/>
      <family val="3"/>
      <charset val="128"/>
    </font>
    <font>
      <sz val="14"/>
      <color indexed="8"/>
      <name val="ＭＳ 明朝"/>
      <family val="1"/>
      <charset val="128"/>
    </font>
    <font>
      <sz val="10"/>
      <color theme="1"/>
      <name val="ＭＳ 明朝"/>
      <family val="1"/>
      <charset val="128"/>
    </font>
    <font>
      <sz val="11"/>
      <color theme="1"/>
      <name val="ＭＳ 明朝"/>
      <family val="1"/>
      <charset val="128"/>
    </font>
    <font>
      <sz val="8.5"/>
      <color theme="1"/>
      <name val="ＭＳ Ｐゴシック"/>
      <family val="3"/>
      <charset val="128"/>
      <scheme val="minor"/>
    </font>
    <font>
      <b/>
      <sz val="11"/>
      <color theme="1"/>
      <name val="ＭＳ ゴシック"/>
      <family val="3"/>
      <charset val="128"/>
    </font>
    <font>
      <sz val="8.5"/>
      <color theme="1"/>
      <name val="ＭＳ ゴシック"/>
      <family val="3"/>
      <charset val="128"/>
    </font>
    <font>
      <sz val="10"/>
      <name val="ＭＳ Ｐゴシック"/>
      <family val="3"/>
      <charset val="128"/>
      <scheme val="minor"/>
    </font>
    <font>
      <sz val="10.5"/>
      <color theme="1"/>
      <name val="ＭＳ ゴシック"/>
      <family val="3"/>
      <charset val="128"/>
    </font>
    <font>
      <sz val="8"/>
      <color theme="1"/>
      <name val="ＭＳ 明朝"/>
      <family val="1"/>
      <charset val="128"/>
    </font>
    <font>
      <sz val="8"/>
      <color theme="1"/>
      <name val="ＭＳ Ｐゴシック"/>
      <family val="3"/>
      <charset val="128"/>
      <scheme val="minor"/>
    </font>
    <font>
      <sz val="12"/>
      <color theme="1"/>
      <name val="ＭＳ 明朝"/>
      <family val="1"/>
      <charset val="128"/>
    </font>
    <font>
      <sz val="12"/>
      <color theme="1"/>
      <name val="ＭＳ Ｐゴシック"/>
      <family val="3"/>
      <charset val="128"/>
      <scheme val="minor"/>
    </font>
    <font>
      <sz val="9"/>
      <color theme="1"/>
      <name val="ＭＳ 明朝"/>
      <family val="1"/>
      <charset val="128"/>
    </font>
    <font>
      <sz val="10"/>
      <color theme="1"/>
      <name val="ＭＳ ゴシック"/>
      <family val="3"/>
      <charset val="128"/>
    </font>
    <font>
      <b/>
      <sz val="10"/>
      <color theme="1"/>
      <name val="ＭＳ 明朝"/>
      <family val="1"/>
      <charset val="128"/>
    </font>
    <font>
      <sz val="14"/>
      <color theme="1"/>
      <name val="ＭＳ 明朝"/>
      <family val="1"/>
      <charset val="128"/>
    </font>
    <font>
      <sz val="10.5"/>
      <color theme="1"/>
      <name val="ＭＳ Ｐゴシック"/>
      <family val="3"/>
      <charset val="128"/>
      <scheme val="minor"/>
    </font>
    <font>
      <sz val="10.5"/>
      <color theme="1"/>
      <name val="ＭＳ 明朝"/>
      <family val="1"/>
      <charset val="128"/>
    </font>
    <font>
      <b/>
      <sz val="10.5"/>
      <color theme="1"/>
      <name val="ＭＳ 明朝"/>
      <family val="1"/>
      <charset val="128"/>
    </font>
    <font>
      <b/>
      <sz val="12"/>
      <color theme="1"/>
      <name val="ＭＳ 明朝"/>
      <family val="1"/>
      <charset val="128"/>
    </font>
    <font>
      <b/>
      <sz val="10"/>
      <color theme="1"/>
      <name val="ＭＳ ゴシック"/>
      <family val="3"/>
      <charset val="128"/>
    </font>
    <font>
      <sz val="11"/>
      <color theme="1"/>
      <name val="ＭＳ ゴシック"/>
      <family val="3"/>
      <charset val="128"/>
    </font>
    <font>
      <sz val="11"/>
      <color theme="1"/>
      <name val="ＭＳ Ｐゴシック"/>
      <family val="3"/>
      <charset val="128"/>
      <scheme val="minor"/>
    </font>
    <font>
      <sz val="11"/>
      <color rgb="FFFF0000"/>
      <name val="ＭＳ 明朝"/>
      <family val="1"/>
      <charset val="128"/>
    </font>
    <font>
      <sz val="9"/>
      <color theme="1"/>
      <name val="ＭＳ ゴシック"/>
      <family val="3"/>
      <charset val="128"/>
    </font>
    <font>
      <sz val="9"/>
      <color theme="1"/>
      <name val="ＭＳ Ｐゴシック"/>
      <family val="3"/>
      <charset val="128"/>
      <scheme val="minor"/>
    </font>
    <font>
      <sz val="12"/>
      <color theme="1"/>
      <name val="ＭＳ ゴシック"/>
      <family val="3"/>
      <charset val="128"/>
    </font>
    <font>
      <u/>
      <sz val="10"/>
      <color theme="10"/>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s>
  <borders count="70">
    <border>
      <left/>
      <right/>
      <top/>
      <bottom/>
      <diagonal/>
    </border>
    <border>
      <left/>
      <right/>
      <top/>
      <bottom style="thin">
        <color indexed="64"/>
      </bottom>
      <diagonal/>
    </border>
    <border>
      <left style="thin">
        <color indexed="64"/>
      </left>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bottom style="thin">
        <color indexed="64"/>
      </bottom>
      <diagonal/>
    </border>
    <border>
      <left style="mediumDashDot">
        <color indexed="64"/>
      </left>
      <right/>
      <top/>
      <bottom/>
      <diagonal/>
    </border>
    <border>
      <left/>
      <right style="mediumDashDot">
        <color indexed="64"/>
      </right>
      <top/>
      <bottom/>
      <diagonal/>
    </border>
    <border>
      <left/>
      <right style="thin">
        <color indexed="64"/>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style="hair">
        <color indexed="64"/>
      </top>
      <bottom/>
      <diagonal/>
    </border>
    <border>
      <left/>
      <right/>
      <top style="dotted">
        <color indexed="64"/>
      </top>
      <bottom/>
      <diagonal/>
    </border>
    <border>
      <left/>
      <right style="thin">
        <color indexed="64"/>
      </right>
      <top style="dotted">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
      <left style="thin">
        <color indexed="64"/>
      </left>
      <right/>
      <top style="dotted">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diagonal/>
    </border>
  </borders>
  <cellStyleXfs count="2">
    <xf numFmtId="0" fontId="0" fillId="0" borderId="0">
      <alignment vertical="center"/>
    </xf>
    <xf numFmtId="0" fontId="34" fillId="0" borderId="0" applyNumberFormat="0" applyFill="0" applyBorder="0" applyAlignment="0" applyProtection="0">
      <alignment vertical="center"/>
    </xf>
  </cellStyleXfs>
  <cellXfs count="363">
    <xf numFmtId="0" fontId="0" fillId="0" borderId="0" xfId="0">
      <alignment vertical="center"/>
    </xf>
    <xf numFmtId="0" fontId="8" fillId="0" borderId="0" xfId="0" applyFont="1">
      <alignment vertical="center"/>
    </xf>
    <xf numFmtId="0" fontId="9" fillId="0" borderId="1" xfId="0" applyFont="1" applyBorder="1">
      <alignment vertical="center"/>
    </xf>
    <xf numFmtId="0" fontId="8" fillId="0" borderId="2" xfId="0" applyFont="1" applyBorder="1" applyAlignment="1">
      <alignment horizontal="distributed" vertical="center"/>
    </xf>
    <xf numFmtId="0" fontId="0" fillId="0" borderId="0" xfId="0" applyAlignment="1">
      <alignment vertical="center" shrinkToFit="1"/>
    </xf>
    <xf numFmtId="0" fontId="10" fillId="0" borderId="0" xfId="0" applyFont="1" applyAlignment="1">
      <alignment horizontal="right"/>
    </xf>
    <xf numFmtId="0" fontId="0" fillId="0" borderId="0" xfId="0"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8" fillId="0" borderId="2" xfId="0" applyFont="1" applyBorder="1">
      <alignment vertical="center"/>
    </xf>
    <xf numFmtId="0" fontId="8" fillId="0" borderId="7" xfId="0" applyFont="1" applyBorder="1">
      <alignment vertical="center"/>
    </xf>
    <xf numFmtId="0" fontId="8" fillId="0" borderId="8" xfId="0" applyFont="1" applyBorder="1">
      <alignment vertical="center"/>
    </xf>
    <xf numFmtId="0" fontId="8" fillId="0" borderId="9" xfId="0" applyFont="1" applyBorder="1">
      <alignment vertical="center"/>
    </xf>
    <xf numFmtId="0" fontId="11" fillId="0" borderId="0" xfId="0" applyFont="1">
      <alignment vertical="center"/>
    </xf>
    <xf numFmtId="0" fontId="12" fillId="0" borderId="9" xfId="0" applyFont="1" applyBorder="1" applyAlignment="1">
      <alignment horizontal="right"/>
    </xf>
    <xf numFmtId="0" fontId="0" fillId="2" borderId="3" xfId="0" applyFill="1" applyBorder="1" applyAlignment="1">
      <alignment horizontal="left" vertical="center"/>
    </xf>
    <xf numFmtId="0" fontId="0" fillId="2" borderId="4" xfId="0" applyFill="1" applyBorder="1" applyAlignment="1">
      <alignment horizontal="left" vertical="center"/>
    </xf>
    <xf numFmtId="179" fontId="0" fillId="2" borderId="4" xfId="0" applyNumberFormat="1" applyFill="1" applyBorder="1" applyAlignment="1">
      <alignment horizontal="left" vertical="center"/>
    </xf>
    <xf numFmtId="0" fontId="0" fillId="2" borderId="5" xfId="0" applyFill="1" applyBorder="1" applyAlignment="1">
      <alignment horizontal="left" vertical="center"/>
    </xf>
    <xf numFmtId="0" fontId="0" fillId="0" borderId="1" xfId="0"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top"/>
    </xf>
    <xf numFmtId="0" fontId="0" fillId="0" borderId="14" xfId="0"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0" fillId="2" borderId="17" xfId="0" applyFill="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2" borderId="20" xfId="0" applyFill="1" applyBorder="1" applyAlignment="1">
      <alignment horizontal="left" vertical="center"/>
    </xf>
    <xf numFmtId="0" fontId="0" fillId="2" borderId="21" xfId="0" applyFill="1" applyBorder="1" applyAlignment="1">
      <alignment horizontal="left" vertical="center"/>
    </xf>
    <xf numFmtId="0" fontId="0" fillId="2" borderId="22" xfId="0" applyFill="1"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11" xfId="0" applyBorder="1" applyAlignment="1">
      <alignment horizontal="left" vertical="top"/>
    </xf>
    <xf numFmtId="0" fontId="0" fillId="2" borderId="11" xfId="0" applyFill="1" applyBorder="1" applyAlignment="1">
      <alignment horizontal="left" vertical="top"/>
    </xf>
    <xf numFmtId="20" fontId="0" fillId="2" borderId="16" xfId="0" applyNumberFormat="1" applyFill="1" applyBorder="1" applyAlignment="1">
      <alignment horizontal="left" vertical="center"/>
    </xf>
    <xf numFmtId="20" fontId="0" fillId="0" borderId="16" xfId="0" applyNumberFormat="1"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0" borderId="28" xfId="0" applyBorder="1" applyAlignment="1">
      <alignment horizontal="left" vertical="center"/>
    </xf>
    <xf numFmtId="0" fontId="0" fillId="0" borderId="25" xfId="0" applyBorder="1" applyAlignment="1">
      <alignment horizontal="left" vertical="top"/>
    </xf>
    <xf numFmtId="0" fontId="0" fillId="0" borderId="29" xfId="0" applyBorder="1" applyAlignment="1">
      <alignment horizontal="left" vertical="top"/>
    </xf>
    <xf numFmtId="0" fontId="0" fillId="0" borderId="30" xfId="0" applyBorder="1" applyAlignment="1">
      <alignment horizontal="left" vertical="center"/>
    </xf>
    <xf numFmtId="0" fontId="0" fillId="0" borderId="31" xfId="0" applyBorder="1" applyAlignment="1">
      <alignment horizontal="left" vertical="center"/>
    </xf>
    <xf numFmtId="0" fontId="0" fillId="2" borderId="29" xfId="0" applyFill="1" applyBorder="1" applyAlignment="1">
      <alignment horizontal="left" vertical="top"/>
    </xf>
    <xf numFmtId="0" fontId="0" fillId="2" borderId="32" xfId="0" applyFill="1" applyBorder="1" applyAlignment="1">
      <alignment horizontal="left" vertical="center"/>
    </xf>
    <xf numFmtId="0" fontId="0" fillId="2" borderId="30" xfId="0" applyFill="1" applyBorder="1" applyAlignment="1">
      <alignment horizontal="left" vertical="center"/>
    </xf>
    <xf numFmtId="0" fontId="0" fillId="2" borderId="31" xfId="0" applyFill="1" applyBorder="1" applyAlignment="1">
      <alignment horizontal="left" vertical="center"/>
    </xf>
    <xf numFmtId="0" fontId="13" fillId="0" borderId="11" xfId="0" applyFont="1" applyBorder="1" applyAlignment="1">
      <alignment horizontal="left" vertical="top"/>
    </xf>
    <xf numFmtId="0" fontId="13" fillId="0" borderId="16" xfId="0" applyFont="1" applyBorder="1" applyAlignment="1">
      <alignment horizontal="left" vertical="center"/>
    </xf>
    <xf numFmtId="0" fontId="13" fillId="0" borderId="21" xfId="0" applyFont="1" applyBorder="1" applyAlignment="1">
      <alignment horizontal="left" vertical="center"/>
    </xf>
    <xf numFmtId="0" fontId="13" fillId="0" borderId="4" xfId="0" applyFont="1" applyBorder="1" applyAlignment="1">
      <alignment horizontal="left" vertical="center"/>
    </xf>
    <xf numFmtId="0" fontId="13" fillId="0" borderId="10" xfId="0" applyFont="1" applyBorder="1" applyAlignment="1">
      <alignment horizontal="left" vertical="top"/>
    </xf>
    <xf numFmtId="0" fontId="13" fillId="0" borderId="12" xfId="0" applyFont="1" applyBorder="1" applyAlignment="1">
      <alignment horizontal="left" vertical="top"/>
    </xf>
    <xf numFmtId="0" fontId="13" fillId="0" borderId="15" xfId="0" applyFont="1" applyBorder="1" applyAlignment="1">
      <alignment horizontal="left" vertical="center"/>
    </xf>
    <xf numFmtId="20" fontId="13" fillId="0" borderId="17" xfId="0" applyNumberFormat="1" applyFont="1" applyBorder="1" applyAlignment="1">
      <alignment horizontal="left" vertical="center"/>
    </xf>
    <xf numFmtId="0" fontId="13" fillId="0" borderId="20" xfId="0" applyFont="1" applyBorder="1" applyAlignment="1">
      <alignment horizontal="left" vertical="center"/>
    </xf>
    <xf numFmtId="0" fontId="13" fillId="0" borderId="22" xfId="0" applyFont="1" applyBorder="1" applyAlignment="1">
      <alignment horizontal="left" vertical="center"/>
    </xf>
    <xf numFmtId="0" fontId="13" fillId="0" borderId="3" xfId="0" applyFont="1" applyBorder="1" applyAlignment="1">
      <alignment horizontal="left" vertical="center"/>
    </xf>
    <xf numFmtId="0" fontId="13" fillId="0" borderId="5" xfId="0" applyFont="1" applyBorder="1" applyAlignment="1">
      <alignment horizontal="left" vertical="center"/>
    </xf>
    <xf numFmtId="0" fontId="0" fillId="0" borderId="10" xfId="0" applyBorder="1" applyAlignment="1">
      <alignment horizontal="left" vertical="top"/>
    </xf>
    <xf numFmtId="0" fontId="0" fillId="2" borderId="10" xfId="0" applyFill="1" applyBorder="1" applyAlignment="1">
      <alignment horizontal="left" vertical="top"/>
    </xf>
    <xf numFmtId="0" fontId="0" fillId="2" borderId="12" xfId="0" applyFill="1" applyBorder="1" applyAlignment="1">
      <alignment horizontal="left" vertical="top"/>
    </xf>
    <xf numFmtId="0" fontId="0" fillId="0" borderId="12" xfId="0" applyBorder="1" applyAlignment="1">
      <alignment horizontal="left" vertical="top"/>
    </xf>
    <xf numFmtId="0" fontId="0" fillId="0" borderId="32" xfId="0" applyBorder="1" applyAlignment="1">
      <alignment horizontal="left" vertical="center"/>
    </xf>
    <xf numFmtId="0" fontId="0" fillId="0" borderId="13" xfId="0" applyBorder="1" applyAlignment="1">
      <alignment horizontal="left" vertical="top"/>
    </xf>
    <xf numFmtId="0" fontId="0" fillId="2" borderId="29" xfId="0" applyFill="1" applyBorder="1" applyAlignment="1">
      <alignment horizontal="left" vertical="center"/>
    </xf>
    <xf numFmtId="0" fontId="8" fillId="0" borderId="0" xfId="0" applyFont="1" applyAlignment="1">
      <alignment horizontal="right" vertical="top"/>
    </xf>
    <xf numFmtId="58" fontId="14" fillId="0" borderId="0" xfId="0" applyNumberFormat="1" applyFont="1" applyAlignment="1">
      <alignment horizontal="right" vertical="top"/>
    </xf>
    <xf numFmtId="0" fontId="8" fillId="0" borderId="0" xfId="0" applyFont="1" applyAlignment="1">
      <alignment horizontal="center" vertical="center"/>
    </xf>
    <xf numFmtId="0" fontId="0" fillId="0" borderId="0" xfId="0"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2" xfId="0" applyFont="1" applyBorder="1">
      <alignment vertical="center"/>
    </xf>
    <xf numFmtId="0" fontId="17" fillId="0" borderId="9" xfId="0" applyFont="1" applyBorder="1">
      <alignment vertical="center"/>
    </xf>
    <xf numFmtId="0" fontId="17" fillId="0" borderId="0" xfId="0" applyFont="1">
      <alignment vertical="center"/>
    </xf>
    <xf numFmtId="0" fontId="18" fillId="0" borderId="0" xfId="0" applyFont="1">
      <alignment vertical="center"/>
    </xf>
    <xf numFmtId="0" fontId="17" fillId="0" borderId="36" xfId="0" applyFont="1" applyBorder="1">
      <alignment vertical="center"/>
    </xf>
    <xf numFmtId="0" fontId="17" fillId="0" borderId="37" xfId="0" applyFont="1" applyBorder="1">
      <alignment vertical="center"/>
    </xf>
    <xf numFmtId="0" fontId="8" fillId="0" borderId="38" xfId="0" applyFont="1" applyBorder="1" applyAlignment="1">
      <alignment horizontal="center" vertical="center"/>
    </xf>
    <xf numFmtId="0" fontId="8" fillId="0" borderId="1" xfId="0" applyFont="1" applyBorder="1" applyAlignment="1">
      <alignment horizontal="center" vertical="center"/>
    </xf>
    <xf numFmtId="0" fontId="8" fillId="0" borderId="27" xfId="0" applyFont="1" applyBorder="1" applyAlignment="1">
      <alignment horizontal="center" vertical="center"/>
    </xf>
    <xf numFmtId="0" fontId="8" fillId="0" borderId="37" xfId="0" applyFont="1" applyBorder="1">
      <alignment vertical="center"/>
    </xf>
    <xf numFmtId="0" fontId="8" fillId="0" borderId="39" xfId="0" applyFont="1" applyBorder="1">
      <alignment vertical="center"/>
    </xf>
    <xf numFmtId="0" fontId="8" fillId="0" borderId="40" xfId="0" applyFont="1" applyBorder="1">
      <alignment vertical="center"/>
    </xf>
    <xf numFmtId="0" fontId="8" fillId="0" borderId="40" xfId="0" applyFont="1" applyBorder="1" applyAlignment="1">
      <alignment horizontal="distributed" vertical="center"/>
    </xf>
    <xf numFmtId="0" fontId="19" fillId="0" borderId="40" xfId="0" applyFont="1" applyBorder="1" applyAlignment="1">
      <alignment horizontal="center" vertical="center"/>
    </xf>
    <xf numFmtId="0" fontId="8" fillId="0" borderId="41" xfId="0" applyFont="1" applyBorder="1">
      <alignment vertical="center"/>
    </xf>
    <xf numFmtId="0" fontId="8" fillId="0" borderId="0" xfId="0" applyFont="1" applyAlignment="1">
      <alignment horizontal="distributed" vertical="center"/>
    </xf>
    <xf numFmtId="0" fontId="10" fillId="0" borderId="0" xfId="0" applyFont="1" applyAlignment="1">
      <alignment horizontal="center"/>
    </xf>
    <xf numFmtId="0" fontId="19" fillId="0" borderId="0" xfId="0" applyFont="1" applyAlignment="1">
      <alignment horizontal="center" vertical="center"/>
    </xf>
    <xf numFmtId="0" fontId="8" fillId="0" borderId="0" xfId="0" applyFont="1" applyAlignment="1">
      <alignment horizontal="right" vertical="center"/>
    </xf>
    <xf numFmtId="0" fontId="19" fillId="0" borderId="0" xfId="0" applyFont="1" applyAlignment="1">
      <alignment vertical="center" shrinkToFit="1"/>
    </xf>
    <xf numFmtId="0" fontId="19" fillId="0" borderId="0" xfId="0" applyFont="1" applyAlignment="1">
      <alignment vertical="top"/>
    </xf>
    <xf numFmtId="0" fontId="8" fillId="0" borderId="0" xfId="0" applyFont="1" applyAlignment="1">
      <alignment vertical="center" shrinkToFit="1"/>
    </xf>
    <xf numFmtId="0" fontId="8" fillId="0" borderId="42" xfId="0" applyFont="1" applyBorder="1">
      <alignment vertical="center"/>
    </xf>
    <xf numFmtId="0" fontId="20" fillId="0" borderId="0" xfId="0" applyFont="1">
      <alignment vertical="center"/>
    </xf>
    <xf numFmtId="0" fontId="8" fillId="0" borderId="0" xfId="0" quotePrefix="1" applyFont="1" applyAlignment="1">
      <alignment horizontal="distributed" vertical="center"/>
    </xf>
    <xf numFmtId="0" fontId="8" fillId="0" borderId="43" xfId="0" applyFont="1" applyBorder="1" applyAlignment="1">
      <alignment horizontal="distributed" vertical="center"/>
    </xf>
    <xf numFmtId="0" fontId="8" fillId="0" borderId="43" xfId="0" applyFont="1" applyBorder="1">
      <alignment vertical="center"/>
    </xf>
    <xf numFmtId="0" fontId="19" fillId="0" borderId="43" xfId="0" applyFont="1" applyBorder="1" applyAlignment="1">
      <alignment horizontal="center" vertical="center"/>
    </xf>
    <xf numFmtId="0" fontId="8" fillId="0" borderId="44" xfId="0" applyFont="1" applyBorder="1">
      <alignment vertical="center"/>
    </xf>
    <xf numFmtId="0" fontId="21" fillId="0" borderId="0" xfId="0" applyFont="1" applyAlignment="1">
      <alignment horizontal="left" vertical="center"/>
    </xf>
    <xf numFmtId="0" fontId="19" fillId="0" borderId="0" xfId="0" applyFont="1">
      <alignment vertical="center"/>
    </xf>
    <xf numFmtId="0" fontId="8" fillId="0" borderId="34" xfId="0" applyFont="1" applyBorder="1">
      <alignment vertical="center"/>
    </xf>
    <xf numFmtId="0" fontId="8" fillId="0" borderId="34" xfId="0" applyFont="1" applyBorder="1" applyAlignment="1">
      <alignment horizontal="center" vertical="center"/>
    </xf>
    <xf numFmtId="0" fontId="8" fillId="0" borderId="34" xfId="0" applyFont="1" applyBorder="1" applyAlignment="1">
      <alignment vertical="center" wrapText="1"/>
    </xf>
    <xf numFmtId="0" fontId="22" fillId="0" borderId="0" xfId="0" applyFont="1" applyAlignment="1">
      <alignment horizontal="center" vertical="center"/>
    </xf>
    <xf numFmtId="0" fontId="8" fillId="0" borderId="33" xfId="0" applyFont="1" applyBorder="1">
      <alignment vertical="center"/>
    </xf>
    <xf numFmtId="0" fontId="8" fillId="0" borderId="34" xfId="0" applyFont="1" applyBorder="1" applyAlignment="1">
      <alignment horizontal="distributed" vertical="center"/>
    </xf>
    <xf numFmtId="0" fontId="8" fillId="0" borderId="35" xfId="0" applyFont="1" applyBorder="1">
      <alignment vertical="center"/>
    </xf>
    <xf numFmtId="0" fontId="14" fillId="0" borderId="2" xfId="0" applyFont="1" applyBorder="1">
      <alignment vertical="center"/>
    </xf>
    <xf numFmtId="0" fontId="14" fillId="0" borderId="0" xfId="0" applyFont="1">
      <alignment vertical="center"/>
    </xf>
    <xf numFmtId="0" fontId="14" fillId="0" borderId="9" xfId="0" applyFont="1" applyBorder="1">
      <alignment vertical="center"/>
    </xf>
    <xf numFmtId="0" fontId="23" fillId="0" borderId="0" xfId="0" applyFont="1">
      <alignment vertical="center"/>
    </xf>
    <xf numFmtId="0" fontId="24" fillId="0" borderId="2" xfId="0" applyFont="1" applyBorder="1">
      <alignment vertical="center"/>
    </xf>
    <xf numFmtId="0" fontId="24" fillId="0" borderId="0" xfId="0" applyFont="1">
      <alignment vertical="center"/>
    </xf>
    <xf numFmtId="0" fontId="25" fillId="0" borderId="0" xfId="0" applyFont="1">
      <alignment vertical="center"/>
    </xf>
    <xf numFmtId="0" fontId="24" fillId="0" borderId="9" xfId="0" applyFont="1" applyBorder="1">
      <alignment vertical="center"/>
    </xf>
    <xf numFmtId="0" fontId="26" fillId="0" borderId="0" xfId="0" applyFont="1">
      <alignment vertical="center"/>
    </xf>
    <xf numFmtId="0" fontId="15" fillId="0" borderId="9" xfId="0" applyFont="1" applyBorder="1" applyAlignment="1">
      <alignment horizontal="right" vertical="center"/>
    </xf>
    <xf numFmtId="0" fontId="25" fillId="0" borderId="45" xfId="0" applyFont="1" applyBorder="1">
      <alignment vertical="center"/>
    </xf>
    <xf numFmtId="0" fontId="24" fillId="0" borderId="46" xfId="0" applyFont="1" applyBorder="1">
      <alignment vertical="center"/>
    </xf>
    <xf numFmtId="0" fontId="24" fillId="0" borderId="47" xfId="0" applyFont="1" applyBorder="1">
      <alignment vertical="center"/>
    </xf>
    <xf numFmtId="0" fontId="21"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8" fillId="0" borderId="36" xfId="0" applyFont="1" applyBorder="1">
      <alignment vertical="center"/>
    </xf>
    <xf numFmtId="0" fontId="8" fillId="0" borderId="1" xfId="0" applyFont="1" applyBorder="1">
      <alignment vertical="center"/>
    </xf>
    <xf numFmtId="0" fontId="9" fillId="0" borderId="33" xfId="0" applyFont="1" applyBorder="1">
      <alignment vertical="center"/>
    </xf>
    <xf numFmtId="0" fontId="9" fillId="0" borderId="34" xfId="0" applyFont="1" applyBorder="1">
      <alignment vertical="center"/>
    </xf>
    <xf numFmtId="0" fontId="9" fillId="0" borderId="35" xfId="0" applyFont="1" applyBorder="1">
      <alignment vertical="center"/>
    </xf>
    <xf numFmtId="0" fontId="28" fillId="0" borderId="0" xfId="0" applyFont="1">
      <alignment vertical="center"/>
    </xf>
    <xf numFmtId="0" fontId="28" fillId="0" borderId="2" xfId="0" applyFont="1" applyBorder="1">
      <alignment vertical="center"/>
    </xf>
    <xf numFmtId="0" fontId="28" fillId="0" borderId="9" xfId="0" applyFont="1" applyBorder="1">
      <alignment vertical="center"/>
    </xf>
    <xf numFmtId="0" fontId="9" fillId="0" borderId="2" xfId="0" applyFont="1" applyBorder="1">
      <alignment vertical="center"/>
    </xf>
    <xf numFmtId="0" fontId="9" fillId="0" borderId="0" xfId="0" applyFont="1">
      <alignment vertical="center"/>
    </xf>
    <xf numFmtId="0" fontId="9" fillId="0" borderId="9" xfId="0" applyFont="1" applyBorder="1">
      <alignment vertical="center"/>
    </xf>
    <xf numFmtId="0" fontId="29" fillId="0" borderId="0" xfId="0" applyFont="1">
      <alignment vertical="center"/>
    </xf>
    <xf numFmtId="0" fontId="9" fillId="0" borderId="0" xfId="0" applyFont="1" applyAlignment="1">
      <alignment horizontal="center" vertical="center"/>
    </xf>
    <xf numFmtId="0" fontId="29" fillId="0" borderId="0" xfId="0" applyFont="1" applyAlignment="1">
      <alignment horizontal="center" vertical="center"/>
    </xf>
    <xf numFmtId="0" fontId="9" fillId="0" borderId="36" xfId="0" applyFont="1" applyBorder="1">
      <alignment vertical="center"/>
    </xf>
    <xf numFmtId="0" fontId="9" fillId="0" borderId="37" xfId="0" applyFont="1" applyBorder="1">
      <alignment vertical="center"/>
    </xf>
    <xf numFmtId="0" fontId="11" fillId="0" borderId="2" xfId="0" applyFont="1" applyBorder="1">
      <alignment vertical="center"/>
    </xf>
    <xf numFmtId="0" fontId="11" fillId="0" borderId="45" xfId="0" applyFont="1" applyBorder="1">
      <alignment vertical="center"/>
    </xf>
    <xf numFmtId="0" fontId="11" fillId="0" borderId="46" xfId="0" applyFont="1" applyBorder="1">
      <alignment vertical="center"/>
    </xf>
    <xf numFmtId="0" fontId="11" fillId="0" borderId="47" xfId="0" applyFont="1" applyBorder="1">
      <alignment vertical="center"/>
    </xf>
    <xf numFmtId="0" fontId="11" fillId="0" borderId="9" xfId="0" applyFont="1" applyBorder="1">
      <alignment vertical="center"/>
    </xf>
    <xf numFmtId="0" fontId="19" fillId="0" borderId="1" xfId="0" applyFont="1" applyBorder="1">
      <alignment vertical="center"/>
    </xf>
    <xf numFmtId="0" fontId="9" fillId="0" borderId="48" xfId="0" applyFont="1" applyBorder="1">
      <alignment vertical="center"/>
    </xf>
    <xf numFmtId="0" fontId="8" fillId="0" borderId="49" xfId="0" applyFont="1" applyBorder="1">
      <alignment vertical="center"/>
    </xf>
    <xf numFmtId="0" fontId="8" fillId="0" borderId="50" xfId="0" applyFont="1" applyBorder="1">
      <alignment vertical="center"/>
    </xf>
    <xf numFmtId="0" fontId="8" fillId="0" borderId="0" xfId="0" applyFont="1" applyAlignment="1">
      <alignment horizontal="center" vertical="center" shrinkToFit="1"/>
    </xf>
    <xf numFmtId="0" fontId="0" fillId="0" borderId="8" xfId="0" applyBorder="1">
      <alignment vertical="center"/>
    </xf>
    <xf numFmtId="0" fontId="8" fillId="0" borderId="9" xfId="0" applyFont="1" applyBorder="1" applyAlignment="1">
      <alignment vertical="center" shrinkToFit="1"/>
    </xf>
    <xf numFmtId="0" fontId="8" fillId="0" borderId="0" xfId="0" applyFont="1" applyAlignment="1">
      <alignment horizontal="left" vertical="center" shrinkToFit="1"/>
    </xf>
    <xf numFmtId="0" fontId="8" fillId="0" borderId="8" xfId="0" applyFont="1" applyBorder="1" applyAlignment="1">
      <alignment horizontal="left" vertical="center" shrinkToFit="1"/>
    </xf>
    <xf numFmtId="0" fontId="8" fillId="0" borderId="8" xfId="0" applyFont="1" applyBorder="1" applyAlignment="1">
      <alignment horizontal="center" vertical="center" shrinkToFit="1"/>
    </xf>
    <xf numFmtId="0" fontId="8" fillId="0" borderId="8" xfId="0" applyFont="1" applyBorder="1" applyAlignment="1">
      <alignment horizontal="left" vertical="center"/>
    </xf>
    <xf numFmtId="0" fontId="8" fillId="0" borderId="19" xfId="0" applyFont="1" applyBorder="1" applyAlignment="1">
      <alignment horizontal="left" vertical="center"/>
    </xf>
    <xf numFmtId="0" fontId="8" fillId="0" borderId="51" xfId="0" applyFont="1" applyBorder="1">
      <alignment vertical="center"/>
    </xf>
    <xf numFmtId="0" fontId="8" fillId="0" borderId="52" xfId="0" applyFont="1" applyBorder="1">
      <alignment vertical="center"/>
    </xf>
    <xf numFmtId="0" fontId="0" fillId="0" borderId="52" xfId="0" applyBorder="1" applyAlignment="1">
      <alignment horizontal="right" vertical="center"/>
    </xf>
    <xf numFmtId="0" fontId="8" fillId="0" borderId="52" xfId="0" applyFont="1" applyBorder="1" applyAlignment="1">
      <alignment horizontal="center" vertical="center"/>
    </xf>
    <xf numFmtId="0" fontId="0" fillId="0" borderId="52" xfId="0" applyBorder="1">
      <alignment vertical="center"/>
    </xf>
    <xf numFmtId="0" fontId="0" fillId="0" borderId="53" xfId="0" applyBorder="1">
      <alignment vertical="center"/>
    </xf>
    <xf numFmtId="0" fontId="8" fillId="0" borderId="0" xfId="0" applyFont="1" applyAlignment="1">
      <alignment vertical="center" wrapText="1"/>
    </xf>
    <xf numFmtId="0" fontId="22" fillId="0" borderId="33" xfId="0" applyFont="1" applyBorder="1" applyAlignment="1">
      <alignment horizontal="center" vertical="center"/>
    </xf>
    <xf numFmtId="0" fontId="22" fillId="0" borderId="34" xfId="0" applyFont="1" applyBorder="1" applyAlignment="1">
      <alignment horizontal="center" vertical="center"/>
    </xf>
    <xf numFmtId="0" fontId="22" fillId="0" borderId="35" xfId="0" applyFont="1" applyBorder="1" applyAlignment="1">
      <alignment horizontal="center" vertical="center"/>
    </xf>
    <xf numFmtId="0" fontId="20" fillId="0" borderId="0" xfId="0" applyFont="1" applyAlignment="1">
      <alignment horizontal="left" vertical="top" wrapText="1"/>
    </xf>
    <xf numFmtId="0" fontId="20" fillId="0" borderId="0" xfId="0" applyFont="1" applyAlignment="1">
      <alignment horizontal="left" vertical="center" shrinkToFit="1"/>
    </xf>
    <xf numFmtId="0" fontId="22" fillId="0" borderId="0" xfId="0" applyFont="1" applyAlignment="1">
      <alignment horizontal="left" vertical="center"/>
    </xf>
    <xf numFmtId="0" fontId="9" fillId="0" borderId="0" xfId="0" applyFont="1" applyAlignment="1">
      <alignment horizontal="left" vertical="center"/>
    </xf>
    <xf numFmtId="0" fontId="8" fillId="0" borderId="0" xfId="0" applyFont="1" applyProtection="1">
      <alignment vertical="center"/>
      <protection locked="0"/>
    </xf>
    <xf numFmtId="0" fontId="0" fillId="3" borderId="16" xfId="0" applyFill="1" applyBorder="1" applyAlignment="1" applyProtection="1">
      <alignment horizontal="center" vertical="center"/>
      <protection locked="0"/>
    </xf>
    <xf numFmtId="0" fontId="20" fillId="3" borderId="16" xfId="0" applyFont="1" applyFill="1" applyBorder="1" applyProtection="1">
      <alignment vertical="center"/>
      <protection locked="0"/>
    </xf>
    <xf numFmtId="0" fontId="24" fillId="0" borderId="54" xfId="0" applyFont="1" applyBorder="1">
      <alignment vertical="center"/>
    </xf>
    <xf numFmtId="0" fontId="24" fillId="0" borderId="54" xfId="0" applyFont="1" applyBorder="1" applyAlignment="1">
      <alignment horizontal="right" vertical="top"/>
    </xf>
    <xf numFmtId="0" fontId="0" fillId="2" borderId="13" xfId="0" applyFill="1" applyBorder="1" applyAlignment="1">
      <alignment horizontal="left" vertical="center"/>
    </xf>
    <xf numFmtId="0" fontId="0" fillId="2" borderId="18" xfId="0" applyFill="1" applyBorder="1" applyAlignment="1">
      <alignment horizontal="left" vertical="center"/>
    </xf>
    <xf numFmtId="0" fontId="0" fillId="2" borderId="23" xfId="0" applyFill="1" applyBorder="1" applyAlignment="1">
      <alignment horizontal="left" vertical="center"/>
    </xf>
    <xf numFmtId="0" fontId="0" fillId="2" borderId="6" xfId="0" applyFill="1" applyBorder="1" applyAlignment="1">
      <alignment horizontal="left" vertical="center"/>
    </xf>
    <xf numFmtId="0" fontId="0" fillId="0" borderId="29" xfId="0" applyBorder="1" applyAlignment="1">
      <alignment horizontal="left" vertical="center"/>
    </xf>
    <xf numFmtId="179" fontId="0" fillId="0" borderId="31" xfId="0" applyNumberFormat="1" applyBorder="1" applyAlignment="1">
      <alignment horizontal="left" vertical="center"/>
    </xf>
    <xf numFmtId="0" fontId="29" fillId="0" borderId="0" xfId="0" applyFont="1" applyAlignment="1">
      <alignment horizontal="left" vertical="center"/>
    </xf>
    <xf numFmtId="0" fontId="30" fillId="0" borderId="7" xfId="0" applyFont="1" applyBorder="1">
      <alignment vertical="center"/>
    </xf>
    <xf numFmtId="0" fontId="24" fillId="0" borderId="0" xfId="0" applyFont="1" applyAlignment="1" applyProtection="1">
      <alignment vertical="top"/>
      <protection locked="0"/>
    </xf>
    <xf numFmtId="0" fontId="20" fillId="0" borderId="0" xfId="0" applyFont="1" applyAlignment="1" applyProtection="1">
      <alignment vertical="center" wrapText="1"/>
      <protection locked="0"/>
    </xf>
    <xf numFmtId="0" fontId="20" fillId="0" borderId="54" xfId="0" applyFont="1" applyBorder="1" applyAlignment="1" applyProtection="1">
      <alignment vertical="center" wrapText="1"/>
      <protection locked="0"/>
    </xf>
    <xf numFmtId="0" fontId="19" fillId="0" borderId="0" xfId="0" applyFont="1" applyAlignment="1"/>
    <xf numFmtId="0" fontId="8" fillId="0" borderId="65" xfId="0" applyFont="1" applyBorder="1" applyAlignment="1">
      <alignment horizontal="distributed" vertical="center" textRotation="255"/>
    </xf>
    <xf numFmtId="0" fontId="8" fillId="0" borderId="43" xfId="0" applyFont="1" applyBorder="1" applyAlignment="1">
      <alignment horizontal="distributed" vertical="center" textRotation="255"/>
    </xf>
    <xf numFmtId="0" fontId="0" fillId="0" borderId="44" xfId="0" applyBorder="1" applyAlignment="1">
      <alignment vertical="center" textRotation="255"/>
    </xf>
    <xf numFmtId="0" fontId="0" fillId="0" borderId="2" xfId="0" applyBorder="1" applyAlignment="1">
      <alignment vertical="center" textRotation="255"/>
    </xf>
    <xf numFmtId="0" fontId="0" fillId="0" borderId="0" xfId="0" applyAlignment="1">
      <alignment vertical="center" textRotation="255"/>
    </xf>
    <xf numFmtId="0" fontId="0" fillId="0" borderId="9" xfId="0" applyBorder="1" applyAlignment="1">
      <alignment vertical="center" textRotation="255"/>
    </xf>
    <xf numFmtId="0" fontId="0" fillId="0" borderId="2" xfId="0" applyBorder="1">
      <alignment vertical="center"/>
    </xf>
    <xf numFmtId="0" fontId="0" fillId="0" borderId="0" xfId="0">
      <alignment vertical="center"/>
    </xf>
    <xf numFmtId="0" fontId="0" fillId="0" borderId="9" xfId="0" applyBorder="1">
      <alignment vertical="center"/>
    </xf>
    <xf numFmtId="0" fontId="0" fillId="3" borderId="18" xfId="0" applyFill="1" applyBorder="1" applyAlignment="1" applyProtection="1">
      <alignment vertical="center" shrinkToFit="1"/>
      <protection locked="0"/>
    </xf>
    <xf numFmtId="0" fontId="0" fillId="3" borderId="19" xfId="0" applyFill="1" applyBorder="1" applyAlignment="1" applyProtection="1">
      <alignment vertical="center" shrinkToFit="1"/>
      <protection locked="0"/>
    </xf>
    <xf numFmtId="0" fontId="0" fillId="3" borderId="26" xfId="0" applyFill="1" applyBorder="1" applyAlignment="1" applyProtection="1">
      <alignment vertical="center" shrinkToFit="1"/>
      <protection locked="0"/>
    </xf>
    <xf numFmtId="178" fontId="31" fillId="3" borderId="18" xfId="0" applyNumberFormat="1" applyFont="1" applyFill="1" applyBorder="1" applyAlignment="1" applyProtection="1">
      <alignment horizontal="right" vertical="center" shrinkToFit="1"/>
      <protection locked="0"/>
    </xf>
    <xf numFmtId="178" fontId="31" fillId="3" borderId="26" xfId="0" applyNumberFormat="1" applyFont="1" applyFill="1" applyBorder="1" applyAlignment="1" applyProtection="1">
      <alignment horizontal="right" vertical="center" shrinkToFit="1"/>
      <protection locked="0"/>
    </xf>
    <xf numFmtId="0" fontId="19" fillId="0" borderId="0" xfId="0" applyFont="1" applyAlignment="1">
      <alignment vertical="top" wrapText="1"/>
    </xf>
    <xf numFmtId="0" fontId="32" fillId="0" borderId="0" xfId="0" applyFont="1" applyAlignment="1">
      <alignment vertical="center" wrapText="1"/>
    </xf>
    <xf numFmtId="0" fontId="0" fillId="3" borderId="55" xfId="0" applyFill="1" applyBorder="1" applyAlignment="1" applyProtection="1">
      <alignment vertical="center" shrinkToFit="1"/>
      <protection locked="0"/>
    </xf>
    <xf numFmtId="0" fontId="0" fillId="3" borderId="42" xfId="0" applyFill="1" applyBorder="1" applyAlignment="1" applyProtection="1">
      <alignment vertical="center" shrinkToFit="1"/>
      <protection locked="0"/>
    </xf>
    <xf numFmtId="0" fontId="0" fillId="3" borderId="56" xfId="0" applyFill="1" applyBorder="1" applyAlignment="1" applyProtection="1">
      <alignment vertical="center" shrinkToFit="1"/>
      <protection locked="0"/>
    </xf>
    <xf numFmtId="0" fontId="31" fillId="3" borderId="18" xfId="0" applyFont="1" applyFill="1" applyBorder="1" applyAlignment="1" applyProtection="1">
      <alignment horizontal="left" vertical="center" shrinkToFit="1"/>
      <protection locked="0"/>
    </xf>
    <xf numFmtId="0" fontId="31" fillId="3" borderId="19" xfId="0" applyFont="1" applyFill="1" applyBorder="1" applyAlignment="1" applyProtection="1">
      <alignment horizontal="left" vertical="center" shrinkToFit="1"/>
      <protection locked="0"/>
    </xf>
    <xf numFmtId="0" fontId="31" fillId="3" borderId="26" xfId="0" applyFont="1" applyFill="1" applyBorder="1" applyAlignment="1" applyProtection="1">
      <alignment horizontal="left" vertical="center" shrinkToFit="1"/>
      <protection locked="0"/>
    </xf>
    <xf numFmtId="0" fontId="8" fillId="0" borderId="0" xfId="0" applyFont="1" applyAlignment="1">
      <alignment vertical="center" wrapText="1"/>
    </xf>
    <xf numFmtId="0" fontId="8" fillId="0" borderId="66" xfId="0" applyFont="1" applyBorder="1" applyAlignment="1">
      <alignment horizontal="center" vertical="center"/>
    </xf>
    <xf numFmtId="0" fontId="8" fillId="0" borderId="67" xfId="0" applyFont="1" applyBorder="1" applyAlignment="1">
      <alignment horizontal="center" vertical="center"/>
    </xf>
    <xf numFmtId="0" fontId="8" fillId="0" borderId="68" xfId="0" applyFont="1" applyBorder="1" applyAlignment="1">
      <alignment horizontal="center" vertical="center"/>
    </xf>
    <xf numFmtId="0" fontId="22" fillId="0" borderId="0" xfId="0" applyFont="1" applyAlignment="1">
      <alignment horizontal="left" vertical="center"/>
    </xf>
    <xf numFmtId="0" fontId="7" fillId="0" borderId="0" xfId="0" applyFont="1" applyAlignment="1">
      <alignment horizontal="center" vertical="center"/>
    </xf>
    <xf numFmtId="58" fontId="14" fillId="3" borderId="54" xfId="0" applyNumberFormat="1" applyFont="1" applyFill="1" applyBorder="1" applyAlignment="1">
      <alignment horizontal="right" vertical="top"/>
    </xf>
    <xf numFmtId="0" fontId="33" fillId="3" borderId="33" xfId="0" applyFont="1" applyFill="1" applyBorder="1" applyAlignment="1" applyProtection="1">
      <alignment horizontal="center" vertical="center"/>
      <protection locked="0"/>
    </xf>
    <xf numFmtId="0" fontId="33" fillId="3" borderId="34" xfId="0" applyFont="1" applyFill="1" applyBorder="1" applyAlignment="1" applyProtection="1">
      <alignment horizontal="center" vertical="center"/>
      <protection locked="0"/>
    </xf>
    <xf numFmtId="0" fontId="33" fillId="3" borderId="2" xfId="0" applyFont="1" applyFill="1" applyBorder="1" applyAlignment="1" applyProtection="1">
      <alignment horizontal="center" vertical="center"/>
      <protection locked="0"/>
    </xf>
    <xf numFmtId="0" fontId="33" fillId="3" borderId="0" xfId="0" applyFont="1" applyFill="1" applyAlignment="1" applyProtection="1">
      <alignment horizontal="center" vertical="center"/>
      <protection locked="0"/>
    </xf>
    <xf numFmtId="0" fontId="33" fillId="3" borderId="36" xfId="0" applyFont="1" applyFill="1" applyBorder="1" applyAlignment="1" applyProtection="1">
      <alignment horizontal="center" vertical="center"/>
      <protection locked="0"/>
    </xf>
    <xf numFmtId="0" fontId="33" fillId="3" borderId="1" xfId="0" applyFont="1" applyFill="1" applyBorder="1" applyAlignment="1" applyProtection="1">
      <alignment horizontal="center" vertical="center"/>
      <protection locked="0"/>
    </xf>
    <xf numFmtId="0" fontId="15" fillId="0" borderId="14" xfId="0" applyFont="1" applyBorder="1" applyAlignment="1">
      <alignment horizontal="center" vertical="center"/>
    </xf>
    <xf numFmtId="0" fontId="15" fillId="0" borderId="0" xfId="0" applyFont="1" applyAlignment="1">
      <alignment horizontal="right" vertical="center"/>
    </xf>
    <xf numFmtId="0" fontId="8" fillId="0" borderId="58" xfId="0" applyFont="1" applyBorder="1">
      <alignment vertical="center"/>
    </xf>
    <xf numFmtId="0" fontId="15" fillId="0" borderId="1" xfId="0" applyFont="1" applyBorder="1" applyAlignment="1">
      <alignment horizontal="right" vertical="center"/>
    </xf>
    <xf numFmtId="0" fontId="8" fillId="0" borderId="28" xfId="0" applyFont="1" applyBorder="1">
      <alignment vertical="center"/>
    </xf>
    <xf numFmtId="0" fontId="33" fillId="3" borderId="55" xfId="0" applyFont="1" applyFill="1" applyBorder="1" applyAlignment="1">
      <alignment horizontal="center" vertical="center"/>
    </xf>
    <xf numFmtId="0" fontId="33" fillId="3" borderId="42" xfId="0" applyFont="1" applyFill="1" applyBorder="1">
      <alignment vertical="center"/>
    </xf>
    <xf numFmtId="0" fontId="33" fillId="3" borderId="56" xfId="0" applyFont="1" applyFill="1" applyBorder="1">
      <alignment vertical="center"/>
    </xf>
    <xf numFmtId="0" fontId="33" fillId="3" borderId="6" xfId="0" applyFont="1" applyFill="1" applyBorder="1">
      <alignment vertical="center"/>
    </xf>
    <xf numFmtId="0" fontId="33" fillId="3" borderId="1" xfId="0" applyFont="1" applyFill="1" applyBorder="1">
      <alignment vertical="center"/>
    </xf>
    <xf numFmtId="0" fontId="33" fillId="3" borderId="28" xfId="0" applyFont="1" applyFill="1" applyBorder="1">
      <alignment vertical="center"/>
    </xf>
    <xf numFmtId="0" fontId="15" fillId="0" borderId="0" xfId="0" applyFont="1">
      <alignment vertical="center"/>
    </xf>
    <xf numFmtId="0" fontId="15" fillId="0" borderId="1" xfId="0" applyFont="1" applyBorder="1">
      <alignment vertical="center"/>
    </xf>
    <xf numFmtId="0" fontId="17" fillId="0" borderId="0" xfId="0" applyFont="1" applyAlignment="1">
      <alignment horizontal="left" vertical="center"/>
    </xf>
    <xf numFmtId="0" fontId="17" fillId="0" borderId="58" xfId="0" applyFont="1" applyBorder="1" applyAlignment="1">
      <alignment horizontal="left" vertical="center"/>
    </xf>
    <xf numFmtId="0" fontId="17" fillId="0" borderId="1" xfId="0" applyFont="1" applyBorder="1" applyAlignment="1">
      <alignment horizontal="left" vertical="center"/>
    </xf>
    <xf numFmtId="0" fontId="17" fillId="0" borderId="28" xfId="0" applyFont="1" applyBorder="1" applyAlignment="1">
      <alignment horizontal="left" vertical="center"/>
    </xf>
    <xf numFmtId="176" fontId="33" fillId="3" borderId="55" xfId="0" applyNumberFormat="1" applyFont="1" applyFill="1" applyBorder="1" applyAlignment="1" applyProtection="1">
      <alignment horizontal="center" vertical="center"/>
      <protection locked="0"/>
    </xf>
    <xf numFmtId="0" fontId="0" fillId="3" borderId="42" xfId="0" applyFill="1" applyBorder="1" applyAlignment="1" applyProtection="1">
      <alignment horizontal="center" vertical="center"/>
      <protection locked="0"/>
    </xf>
    <xf numFmtId="0" fontId="0" fillId="3" borderId="56" xfId="0" applyFill="1" applyBorder="1" applyAlignment="1" applyProtection="1">
      <alignment horizontal="center" vertical="center"/>
      <protection locked="0"/>
    </xf>
    <xf numFmtId="0" fontId="0" fillId="3" borderId="6" xfId="0" applyFill="1" applyBorder="1"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0" fillId="3" borderId="28" xfId="0" applyFill="1" applyBorder="1" applyAlignment="1" applyProtection="1">
      <alignment horizontal="center" vertical="center"/>
      <protection locked="0"/>
    </xf>
    <xf numFmtId="0" fontId="8" fillId="0" borderId="2" xfId="0" applyFont="1" applyBorder="1" applyAlignment="1">
      <alignment horizontal="distributed" vertical="center" justifyLastLine="1"/>
    </xf>
    <xf numFmtId="0" fontId="8" fillId="0" borderId="0" xfId="0" applyFont="1" applyAlignment="1">
      <alignment horizontal="distributed" vertical="center" justifyLastLine="1"/>
    </xf>
    <xf numFmtId="0" fontId="28" fillId="3" borderId="55" xfId="0" applyFont="1" applyFill="1" applyBorder="1" applyAlignment="1" applyProtection="1">
      <alignment horizontal="left" vertical="top" wrapText="1"/>
      <protection locked="0"/>
    </xf>
    <xf numFmtId="0" fontId="28" fillId="3" borderId="42" xfId="0" applyFont="1" applyFill="1" applyBorder="1" applyAlignment="1" applyProtection="1">
      <alignment horizontal="left" vertical="top" wrapText="1"/>
      <protection locked="0"/>
    </xf>
    <xf numFmtId="0" fontId="28" fillId="3" borderId="56" xfId="0" applyFont="1" applyFill="1" applyBorder="1" applyAlignment="1" applyProtection="1">
      <alignment horizontal="left" vertical="top" wrapText="1"/>
      <protection locked="0"/>
    </xf>
    <xf numFmtId="0" fontId="28" fillId="3" borderId="57" xfId="0" applyFont="1" applyFill="1" applyBorder="1" applyAlignment="1" applyProtection="1">
      <alignment horizontal="left" vertical="top" wrapText="1"/>
      <protection locked="0"/>
    </xf>
    <xf numFmtId="0" fontId="28" fillId="3" borderId="0" xfId="0" applyFont="1" applyFill="1" applyAlignment="1" applyProtection="1">
      <alignment horizontal="left" vertical="top" wrapText="1"/>
      <protection locked="0"/>
    </xf>
    <xf numFmtId="0" fontId="28" fillId="3" borderId="58" xfId="0" applyFont="1" applyFill="1" applyBorder="1" applyAlignment="1" applyProtection="1">
      <alignment horizontal="left" vertical="top" wrapText="1"/>
      <protection locked="0"/>
    </xf>
    <xf numFmtId="0" fontId="28" fillId="3" borderId="59" xfId="0" applyFont="1" applyFill="1" applyBorder="1" applyAlignment="1" applyProtection="1">
      <alignment horizontal="left" vertical="top" wrapText="1"/>
      <protection locked="0"/>
    </xf>
    <xf numFmtId="0" fontId="28" fillId="3" borderId="54" xfId="0" applyFont="1" applyFill="1" applyBorder="1" applyAlignment="1" applyProtection="1">
      <alignment horizontal="left" vertical="top" wrapText="1"/>
      <protection locked="0"/>
    </xf>
    <xf numFmtId="0" fontId="28" fillId="3" borderId="60" xfId="0" applyFont="1" applyFill="1" applyBorder="1" applyAlignment="1" applyProtection="1">
      <alignment horizontal="left" vertical="top" wrapText="1"/>
      <protection locked="0"/>
    </xf>
    <xf numFmtId="0" fontId="8" fillId="0" borderId="36" xfId="0" applyFont="1" applyBorder="1" applyAlignment="1">
      <alignment horizontal="distributed" vertical="center" justifyLastLine="1"/>
    </xf>
    <xf numFmtId="0" fontId="8" fillId="0" borderId="1" xfId="0" applyFont="1" applyBorder="1" applyAlignment="1">
      <alignment horizontal="distributed" vertical="center" justifyLastLine="1"/>
    </xf>
    <xf numFmtId="0" fontId="33" fillId="3" borderId="24" xfId="0" applyFont="1" applyFill="1" applyBorder="1" applyAlignment="1" applyProtection="1">
      <alignment horizontal="left" vertical="center"/>
      <protection locked="0"/>
    </xf>
    <xf numFmtId="0" fontId="33" fillId="3" borderId="27" xfId="0" applyFont="1" applyFill="1" applyBorder="1" applyAlignment="1" applyProtection="1">
      <alignment horizontal="left" vertical="center"/>
      <protection locked="0"/>
    </xf>
    <xf numFmtId="0" fontId="8" fillId="0" borderId="23" xfId="0" applyFont="1" applyBorder="1" applyAlignment="1">
      <alignment horizontal="right" vertical="center" shrinkToFit="1"/>
    </xf>
    <xf numFmtId="0" fontId="8" fillId="0" borderId="24" xfId="0" applyFont="1" applyBorder="1" applyAlignment="1">
      <alignment horizontal="right" vertical="center" shrinkToFit="1"/>
    </xf>
    <xf numFmtId="0" fontId="28" fillId="3" borderId="24" xfId="0" applyFont="1" applyFill="1" applyBorder="1" applyAlignment="1" applyProtection="1">
      <alignment horizontal="left" vertical="center"/>
      <protection locked="0"/>
    </xf>
    <xf numFmtId="0" fontId="28" fillId="3" borderId="27" xfId="0" applyFont="1" applyFill="1" applyBorder="1" applyAlignment="1" applyProtection="1">
      <alignment horizontal="left" vertical="center"/>
      <protection locked="0"/>
    </xf>
    <xf numFmtId="0" fontId="0" fillId="3" borderId="34" xfId="0" applyFill="1" applyBorder="1" applyAlignment="1" applyProtection="1">
      <alignment horizontal="center" vertical="center"/>
      <protection locked="0"/>
    </xf>
    <xf numFmtId="0" fontId="0" fillId="3" borderId="35" xfId="0" applyFill="1" applyBorder="1" applyAlignment="1" applyProtection="1">
      <alignment horizontal="center" vertical="center"/>
      <protection locked="0"/>
    </xf>
    <xf numFmtId="0" fontId="0" fillId="3" borderId="36" xfId="0" applyFill="1" applyBorder="1" applyAlignment="1" applyProtection="1">
      <alignment horizontal="center" vertical="center"/>
      <protection locked="0"/>
    </xf>
    <xf numFmtId="0" fontId="0" fillId="3" borderId="37" xfId="0" applyFill="1" applyBorder="1" applyAlignment="1" applyProtection="1">
      <alignment horizontal="center" vertical="center"/>
      <protection locked="0"/>
    </xf>
    <xf numFmtId="177" fontId="33" fillId="3" borderId="33" xfId="0" applyNumberFormat="1" applyFont="1" applyFill="1" applyBorder="1" applyAlignment="1" applyProtection="1">
      <alignment horizontal="distributed" vertical="center" indent="6"/>
      <protection locked="0"/>
    </xf>
    <xf numFmtId="177" fontId="20" fillId="3" borderId="34" xfId="0" applyNumberFormat="1" applyFont="1" applyFill="1" applyBorder="1" applyAlignment="1" applyProtection="1">
      <alignment horizontal="distributed" vertical="center" indent="6"/>
      <protection locked="0"/>
    </xf>
    <xf numFmtId="177" fontId="20" fillId="3" borderId="35" xfId="0" applyNumberFormat="1" applyFont="1" applyFill="1" applyBorder="1" applyAlignment="1" applyProtection="1">
      <alignment horizontal="distributed" vertical="center" indent="6"/>
      <protection locked="0"/>
    </xf>
    <xf numFmtId="177" fontId="20" fillId="3" borderId="36" xfId="0" applyNumberFormat="1" applyFont="1" applyFill="1" applyBorder="1" applyAlignment="1" applyProtection="1">
      <alignment horizontal="distributed" vertical="center" indent="6"/>
      <protection locked="0"/>
    </xf>
    <xf numFmtId="177" fontId="20" fillId="3" borderId="1" xfId="0" applyNumberFormat="1" applyFont="1" applyFill="1" applyBorder="1" applyAlignment="1" applyProtection="1">
      <alignment horizontal="distributed" vertical="center" indent="6"/>
      <protection locked="0"/>
    </xf>
    <xf numFmtId="177" fontId="20" fillId="3" borderId="37" xfId="0" applyNumberFormat="1" applyFont="1" applyFill="1" applyBorder="1" applyAlignment="1" applyProtection="1">
      <alignment horizontal="distributed" vertical="center" indent="6"/>
      <protection locked="0"/>
    </xf>
    <xf numFmtId="0" fontId="8" fillId="0" borderId="33" xfId="0" applyFont="1" applyBorder="1" applyAlignment="1">
      <alignment horizontal="distributed" vertical="center" justifyLastLine="1"/>
    </xf>
    <xf numFmtId="0" fontId="8" fillId="0" borderId="34" xfId="0" applyFont="1" applyBorder="1" applyAlignment="1">
      <alignment horizontal="distributed" vertical="center" justifyLastLine="1"/>
    </xf>
    <xf numFmtId="0" fontId="33" fillId="3" borderId="69" xfId="0" applyFont="1" applyFill="1" applyBorder="1" applyAlignment="1" applyProtection="1">
      <alignment horizontal="left" vertical="center"/>
      <protection locked="0"/>
    </xf>
    <xf numFmtId="0" fontId="33" fillId="3" borderId="34" xfId="0" applyFont="1" applyFill="1" applyBorder="1" applyAlignment="1" applyProtection="1">
      <alignment horizontal="left" vertical="center"/>
      <protection locked="0"/>
    </xf>
    <xf numFmtId="0" fontId="33" fillId="3" borderId="38" xfId="0" applyFont="1" applyFill="1" applyBorder="1" applyAlignment="1" applyProtection="1">
      <alignment horizontal="left" vertical="center"/>
      <protection locked="0"/>
    </xf>
    <xf numFmtId="0" fontId="20" fillId="3" borderId="18" xfId="0" applyFont="1" applyFill="1" applyBorder="1" applyAlignment="1" applyProtection="1">
      <alignment horizontal="left" vertical="center"/>
      <protection locked="0"/>
    </xf>
    <xf numFmtId="0" fontId="20" fillId="3" borderId="19" xfId="0" applyFont="1" applyFill="1" applyBorder="1" applyAlignment="1" applyProtection="1">
      <alignment horizontal="left" vertical="center"/>
      <protection locked="0"/>
    </xf>
    <xf numFmtId="0" fontId="20" fillId="3" borderId="26" xfId="0" applyFont="1" applyFill="1" applyBorder="1" applyAlignment="1" applyProtection="1">
      <alignment horizontal="left" vertical="center"/>
      <protection locked="0"/>
    </xf>
    <xf numFmtId="0" fontId="20" fillId="3" borderId="55" xfId="0" applyFont="1" applyFill="1" applyBorder="1" applyAlignment="1" applyProtection="1">
      <alignment horizontal="left" vertical="top" wrapText="1"/>
      <protection locked="0"/>
    </xf>
    <xf numFmtId="0" fontId="20" fillId="3" borderId="42" xfId="0" applyFont="1" applyFill="1" applyBorder="1" applyAlignment="1" applyProtection="1">
      <alignment horizontal="left" vertical="top" wrapText="1"/>
      <protection locked="0"/>
    </xf>
    <xf numFmtId="0" fontId="20" fillId="3" borderId="56" xfId="0" applyFont="1" applyFill="1" applyBorder="1" applyAlignment="1" applyProtection="1">
      <alignment horizontal="left" vertical="top" wrapText="1"/>
      <protection locked="0"/>
    </xf>
    <xf numFmtId="0" fontId="20" fillId="3" borderId="57" xfId="0" applyFont="1" applyFill="1" applyBorder="1" applyAlignment="1" applyProtection="1">
      <alignment horizontal="left" vertical="top" wrapText="1"/>
      <protection locked="0"/>
    </xf>
    <xf numFmtId="0" fontId="20" fillId="3" borderId="0" xfId="0" applyFont="1" applyFill="1" applyAlignment="1" applyProtection="1">
      <alignment horizontal="left" vertical="top" wrapText="1"/>
      <protection locked="0"/>
    </xf>
    <xf numFmtId="0" fontId="20" fillId="3" borderId="58" xfId="0" applyFont="1" applyFill="1" applyBorder="1" applyAlignment="1" applyProtection="1">
      <alignment horizontal="left" vertical="top" wrapText="1"/>
      <protection locked="0"/>
    </xf>
    <xf numFmtId="0" fontId="20" fillId="3" borderId="57" xfId="0" applyFont="1" applyFill="1" applyBorder="1" applyAlignment="1" applyProtection="1">
      <alignment horizontal="left" vertical="center" wrapText="1"/>
      <protection locked="0"/>
    </xf>
    <xf numFmtId="0" fontId="20" fillId="3" borderId="0" xfId="0" applyFont="1" applyFill="1" applyAlignment="1" applyProtection="1">
      <alignment horizontal="left" vertical="center" wrapText="1"/>
      <protection locked="0"/>
    </xf>
    <xf numFmtId="0" fontId="20" fillId="3" borderId="58" xfId="0" applyFont="1" applyFill="1" applyBorder="1" applyAlignment="1" applyProtection="1">
      <alignment horizontal="left" vertical="center" wrapText="1"/>
      <protection locked="0"/>
    </xf>
    <xf numFmtId="0" fontId="20" fillId="3" borderId="59" xfId="0" applyFont="1" applyFill="1" applyBorder="1" applyAlignment="1" applyProtection="1">
      <alignment horizontal="left" vertical="center" wrapText="1"/>
      <protection locked="0"/>
    </xf>
    <xf numFmtId="0" fontId="20" fillId="3" borderId="54" xfId="0" applyFont="1" applyFill="1" applyBorder="1" applyAlignment="1" applyProtection="1">
      <alignment horizontal="left" vertical="center" wrapText="1"/>
      <protection locked="0"/>
    </xf>
    <xf numFmtId="0" fontId="20" fillId="3" borderId="60" xfId="0" applyFont="1" applyFill="1" applyBorder="1" applyAlignment="1" applyProtection="1">
      <alignment horizontal="left" vertical="center" wrapText="1"/>
      <protection locked="0"/>
    </xf>
    <xf numFmtId="0" fontId="20" fillId="3" borderId="18" xfId="0" applyFont="1" applyFill="1" applyBorder="1" applyAlignment="1" applyProtection="1">
      <alignment horizontal="left" vertical="center" shrinkToFit="1"/>
      <protection locked="0"/>
    </xf>
    <xf numFmtId="0" fontId="20" fillId="3" borderId="19" xfId="0" applyFont="1" applyFill="1" applyBorder="1" applyAlignment="1" applyProtection="1">
      <alignment horizontal="left" vertical="center" shrinkToFit="1"/>
      <protection locked="0"/>
    </xf>
    <xf numFmtId="0" fontId="20" fillId="3" borderId="26" xfId="0" applyFont="1" applyFill="1" applyBorder="1" applyAlignment="1" applyProtection="1">
      <alignment horizontal="left" vertical="center" shrinkToFit="1"/>
      <protection locked="0"/>
    </xf>
    <xf numFmtId="0" fontId="24" fillId="0" borderId="0" xfId="0" applyFont="1" applyAlignment="1">
      <alignment horizontal="left" vertical="top" wrapText="1"/>
    </xf>
    <xf numFmtId="0" fontId="0" fillId="0" borderId="0" xfId="0" applyAlignment="1">
      <alignment horizontal="left" vertical="top" wrapText="1"/>
    </xf>
    <xf numFmtId="0" fontId="20" fillId="3" borderId="59" xfId="0" applyFont="1" applyFill="1" applyBorder="1" applyAlignment="1" applyProtection="1">
      <alignment horizontal="left" vertical="top" wrapText="1"/>
      <protection locked="0"/>
    </xf>
    <xf numFmtId="0" fontId="20" fillId="3" borderId="54" xfId="0" applyFont="1" applyFill="1" applyBorder="1" applyAlignment="1" applyProtection="1">
      <alignment horizontal="left" vertical="top" wrapText="1"/>
      <protection locked="0"/>
    </xf>
    <xf numFmtId="0" fontId="20" fillId="3" borderId="60" xfId="0" applyFont="1" applyFill="1" applyBorder="1" applyAlignment="1" applyProtection="1">
      <alignment horizontal="left" vertical="top" wrapText="1"/>
      <protection locked="0"/>
    </xf>
    <xf numFmtId="0" fontId="20" fillId="3" borderId="19" xfId="0" applyFont="1" applyFill="1" applyBorder="1" applyAlignment="1" applyProtection="1">
      <alignment vertical="center" shrinkToFit="1"/>
      <protection locked="0"/>
    </xf>
    <xf numFmtId="0" fontId="20" fillId="3" borderId="26" xfId="0" applyFont="1" applyFill="1" applyBorder="1" applyAlignment="1" applyProtection="1">
      <alignment vertical="center" shrinkToFit="1"/>
      <protection locked="0"/>
    </xf>
    <xf numFmtId="0" fontId="9" fillId="0" borderId="61" xfId="0" applyFont="1" applyBorder="1" applyAlignment="1">
      <alignment horizontal="distributed" vertical="center" justifyLastLine="1"/>
    </xf>
    <xf numFmtId="0" fontId="29" fillId="0" borderId="62" xfId="0" applyFont="1" applyBorder="1" applyAlignment="1">
      <alignment horizontal="distributed" vertical="center" justifyLastLine="1"/>
    </xf>
    <xf numFmtId="0" fontId="29" fillId="0" borderId="63" xfId="0" applyFont="1" applyBorder="1" applyAlignment="1">
      <alignment horizontal="distributed" vertical="center" justifyLastLine="1"/>
    </xf>
    <xf numFmtId="0" fontId="20" fillId="3" borderId="55" xfId="0" applyFont="1" applyFill="1" applyBorder="1" applyAlignment="1" applyProtection="1">
      <alignment horizontal="left" vertical="top"/>
      <protection locked="0"/>
    </xf>
    <xf numFmtId="0" fontId="20" fillId="3" borderId="42" xfId="0" applyFont="1" applyFill="1" applyBorder="1" applyAlignment="1" applyProtection="1">
      <alignment horizontal="left" vertical="top"/>
      <protection locked="0"/>
    </xf>
    <xf numFmtId="0" fontId="20" fillId="3" borderId="56" xfId="0" applyFont="1" applyFill="1" applyBorder="1" applyAlignment="1" applyProtection="1">
      <alignment horizontal="left" vertical="top"/>
      <protection locked="0"/>
    </xf>
    <xf numFmtId="0" fontId="20" fillId="3" borderId="57" xfId="0" applyFont="1" applyFill="1" applyBorder="1" applyAlignment="1" applyProtection="1">
      <alignment horizontal="left" vertical="top"/>
      <protection locked="0"/>
    </xf>
    <xf numFmtId="0" fontId="20" fillId="3" borderId="0" xfId="0" applyFont="1" applyFill="1" applyAlignment="1" applyProtection="1">
      <alignment horizontal="left" vertical="top"/>
      <protection locked="0"/>
    </xf>
    <xf numFmtId="0" fontId="20" fillId="3" borderId="58" xfId="0" applyFont="1" applyFill="1" applyBorder="1" applyAlignment="1" applyProtection="1">
      <alignment horizontal="left" vertical="top"/>
      <protection locked="0"/>
    </xf>
    <xf numFmtId="0" fontId="20" fillId="3" borderId="59" xfId="0" applyFont="1" applyFill="1" applyBorder="1" applyAlignment="1" applyProtection="1">
      <alignment horizontal="left" vertical="top"/>
      <protection locked="0"/>
    </xf>
    <xf numFmtId="0" fontId="20" fillId="3" borderId="54" xfId="0" applyFont="1" applyFill="1" applyBorder="1" applyAlignment="1" applyProtection="1">
      <alignment horizontal="left" vertical="top"/>
      <protection locked="0"/>
    </xf>
    <xf numFmtId="0" fontId="20" fillId="3" borderId="60" xfId="0" applyFont="1" applyFill="1" applyBorder="1" applyAlignment="1" applyProtection="1">
      <alignment horizontal="left" vertical="top"/>
      <protection locked="0"/>
    </xf>
    <xf numFmtId="0" fontId="20" fillId="3" borderId="19" xfId="0" applyFont="1" applyFill="1" applyBorder="1" applyProtection="1">
      <alignment vertical="center"/>
      <protection locked="0"/>
    </xf>
    <xf numFmtId="0" fontId="20" fillId="3" borderId="26" xfId="0" applyFont="1" applyFill="1" applyBorder="1" applyProtection="1">
      <alignment vertical="center"/>
      <protection locked="0"/>
    </xf>
    <xf numFmtId="0" fontId="20" fillId="3" borderId="55" xfId="0" applyFont="1" applyFill="1" applyBorder="1" applyAlignment="1" applyProtection="1">
      <alignment horizontal="center" vertical="top" wrapText="1"/>
      <protection locked="0"/>
    </xf>
    <xf numFmtId="0" fontId="20" fillId="3" borderId="42" xfId="0" applyFont="1" applyFill="1" applyBorder="1" applyAlignment="1" applyProtection="1">
      <alignment horizontal="center" vertical="top" wrapText="1"/>
      <protection locked="0"/>
    </xf>
    <xf numFmtId="0" fontId="20" fillId="3" borderId="56" xfId="0" applyFont="1" applyFill="1" applyBorder="1" applyAlignment="1" applyProtection="1">
      <alignment horizontal="center" vertical="top" wrapText="1"/>
      <protection locked="0"/>
    </xf>
    <xf numFmtId="0" fontId="20" fillId="3" borderId="57" xfId="0" applyFont="1" applyFill="1" applyBorder="1" applyAlignment="1" applyProtection="1">
      <alignment horizontal="center" vertical="top" wrapText="1"/>
      <protection locked="0"/>
    </xf>
    <xf numFmtId="0" fontId="20" fillId="3" borderId="0" xfId="0" applyFont="1" applyFill="1" applyAlignment="1" applyProtection="1">
      <alignment horizontal="center" vertical="top" wrapText="1"/>
      <protection locked="0"/>
    </xf>
    <xf numFmtId="0" fontId="20" fillId="3" borderId="58" xfId="0" applyFont="1" applyFill="1" applyBorder="1" applyAlignment="1" applyProtection="1">
      <alignment horizontal="center" vertical="top" wrapText="1"/>
      <protection locked="0"/>
    </xf>
    <xf numFmtId="0" fontId="20" fillId="3" borderId="59" xfId="0" applyFont="1" applyFill="1" applyBorder="1" applyAlignment="1" applyProtection="1">
      <alignment horizontal="center" vertical="top" wrapText="1"/>
      <protection locked="0"/>
    </xf>
    <xf numFmtId="0" fontId="20" fillId="3" borderId="54" xfId="0" applyFont="1" applyFill="1" applyBorder="1" applyAlignment="1" applyProtection="1">
      <alignment horizontal="center" vertical="top" wrapText="1"/>
      <protection locked="0"/>
    </xf>
    <xf numFmtId="0" fontId="20" fillId="3" borderId="60" xfId="0" applyFont="1" applyFill="1" applyBorder="1" applyAlignment="1" applyProtection="1">
      <alignment horizontal="center" vertical="top" wrapText="1"/>
      <protection locked="0"/>
    </xf>
    <xf numFmtId="0" fontId="20" fillId="3" borderId="55" xfId="0" applyFont="1" applyFill="1" applyBorder="1" applyAlignment="1" applyProtection="1">
      <alignment horizontal="center" vertical="center" wrapText="1"/>
      <protection locked="0"/>
    </xf>
    <xf numFmtId="0" fontId="20" fillId="3" borderId="42" xfId="0" applyFont="1" applyFill="1" applyBorder="1" applyAlignment="1" applyProtection="1">
      <alignment horizontal="center" vertical="center" wrapText="1"/>
      <protection locked="0"/>
    </xf>
    <xf numFmtId="0" fontId="20" fillId="3" borderId="56" xfId="0" applyFont="1" applyFill="1" applyBorder="1" applyAlignment="1" applyProtection="1">
      <alignment horizontal="center" vertical="center" wrapText="1"/>
      <protection locked="0"/>
    </xf>
    <xf numFmtId="0" fontId="20" fillId="3" borderId="57" xfId="0" applyFont="1" applyFill="1" applyBorder="1" applyAlignment="1" applyProtection="1">
      <alignment horizontal="center" vertical="center" wrapText="1"/>
      <protection locked="0"/>
    </xf>
    <xf numFmtId="0" fontId="20" fillId="3" borderId="0" xfId="0" applyFont="1" applyFill="1" applyAlignment="1" applyProtection="1">
      <alignment horizontal="center" vertical="center" wrapText="1"/>
      <protection locked="0"/>
    </xf>
    <xf numFmtId="0" fontId="20" fillId="3" borderId="58" xfId="0" applyFont="1" applyFill="1" applyBorder="1" applyAlignment="1" applyProtection="1">
      <alignment horizontal="center" vertical="center" wrapText="1"/>
      <protection locked="0"/>
    </xf>
    <xf numFmtId="0" fontId="20" fillId="3" borderId="59" xfId="0" applyFont="1" applyFill="1" applyBorder="1" applyAlignment="1" applyProtection="1">
      <alignment horizontal="center" vertical="center" wrapText="1"/>
      <protection locked="0"/>
    </xf>
    <xf numFmtId="0" fontId="20" fillId="3" borderId="54" xfId="0" applyFont="1" applyFill="1" applyBorder="1" applyAlignment="1" applyProtection="1">
      <alignment horizontal="center" vertical="center" wrapText="1"/>
      <protection locked="0"/>
    </xf>
    <xf numFmtId="0" fontId="20" fillId="3" borderId="60" xfId="0" applyFont="1" applyFill="1" applyBorder="1" applyAlignment="1" applyProtection="1">
      <alignment horizontal="center" vertical="center" wrapText="1"/>
      <protection locked="0"/>
    </xf>
    <xf numFmtId="0" fontId="9" fillId="0" borderId="64" xfId="0" applyFont="1" applyBorder="1" applyAlignment="1">
      <alignment horizontal="center" vertical="center"/>
    </xf>
    <xf numFmtId="0" fontId="29" fillId="0" borderId="64" xfId="0" applyFont="1" applyBorder="1" applyAlignment="1">
      <alignment horizontal="center" vertical="center"/>
    </xf>
    <xf numFmtId="0" fontId="8" fillId="0" borderId="0" xfId="0" applyFont="1" applyAlignment="1">
      <alignment horizontal="left" vertical="center"/>
    </xf>
    <xf numFmtId="0" fontId="33" fillId="3" borderId="23" xfId="0" quotePrefix="1" applyFont="1" applyFill="1" applyBorder="1" applyAlignment="1" applyProtection="1">
      <alignment horizontal="left" vertical="center"/>
      <protection locked="0"/>
    </xf>
    <xf numFmtId="0" fontId="34" fillId="3" borderId="23" xfId="1" applyFill="1" applyBorder="1" applyAlignment="1" applyProtection="1">
      <alignment horizontal="left" vertical="center"/>
      <protection locked="0"/>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fmlaLink="集計票!$DO$4" lockText="1" noThreeD="1"/>
</file>

<file path=xl/ctrlProps/ctrlProp2.xml><?xml version="1.0" encoding="utf-8"?>
<formControlPr xmlns="http://schemas.microsoft.com/office/spreadsheetml/2009/9/main" objectType="CheckBox" fmlaLink="集計票!$DP$4" lockText="1" noThreeD="1"/>
</file>

<file path=xl/ctrlProps/ctrlProp3.xml><?xml version="1.0" encoding="utf-8"?>
<formControlPr xmlns="http://schemas.microsoft.com/office/spreadsheetml/2009/9/main" objectType="CheckBox" checked="Checked" fmlaLink="集計票!$DR$4" lockText="1" noThreeD="1"/>
</file>

<file path=xl/ctrlProps/ctrlProp4.xml><?xml version="1.0" encoding="utf-8"?>
<formControlPr xmlns="http://schemas.microsoft.com/office/spreadsheetml/2009/9/main" objectType="CheckBox" fmlaLink="集計票!$DS$4" lockText="1" noThreeD="1"/>
</file>

<file path=xl/ctrlProps/ctrlProp5.xml><?xml version="1.0" encoding="utf-8"?>
<formControlPr xmlns="http://schemas.microsoft.com/office/spreadsheetml/2009/9/main" objectType="CheckBox" fmlaLink="集計票!$DT$4" lockText="1" noThreeD="1"/>
</file>

<file path=xl/ctrlProps/ctrlProp6.xml><?xml version="1.0" encoding="utf-8"?>
<formControlPr xmlns="http://schemas.microsoft.com/office/spreadsheetml/2009/9/main" objectType="CheckBox" fmlaLink="集計票!$DU$4" lockText="1" noThreeD="1"/>
</file>

<file path=xl/ctrlProps/ctrlProp7.xml><?xml version="1.0" encoding="utf-8"?>
<formControlPr xmlns="http://schemas.microsoft.com/office/spreadsheetml/2009/9/main" objectType="CheckBox" fmlaLink="集計票!$DV$4" lockText="1" noThreeD="1"/>
</file>

<file path=xl/ctrlProps/ctrlProp8.xml><?xml version="1.0" encoding="utf-8"?>
<formControlPr xmlns="http://schemas.microsoft.com/office/spreadsheetml/2009/9/main" objectType="CheckBox" fmlaLink="集計票!$DY$4" lockText="1" noThreeD="1"/>
</file>

<file path=xl/ctrlProps/ctrlProp9.xml><?xml version="1.0" encoding="utf-8"?>
<formControlPr xmlns="http://schemas.microsoft.com/office/spreadsheetml/2009/9/main" objectType="CheckBox" fmlaLink="集計票!$EB$4" lockText="1" noThreeD="1"/>
</file>

<file path=xl/ctrlProps/ctrlProp10.xml><?xml version="1.0" encoding="utf-8"?>
<formControlPr xmlns="http://schemas.microsoft.com/office/spreadsheetml/2009/9/main" objectType="CheckBox" fmlaLink="集計票!$EC$4" lockText="1" noThreeD="1"/>
</file>

<file path=xl/ctrlProps/ctrlProp11.xml><?xml version="1.0" encoding="utf-8"?>
<formControlPr xmlns="http://schemas.microsoft.com/office/spreadsheetml/2009/9/main" objectType="CheckBox" checked="Checked" fmlaLink="集計票!$ED$4" lockText="1" noThreeD="1"/>
</file>

<file path=xl/ctrlProps/ctrlProp12.xml><?xml version="1.0" encoding="utf-8"?>
<formControlPr xmlns="http://schemas.microsoft.com/office/spreadsheetml/2009/9/main" objectType="CheckBox" fmlaLink="集計票!$EO$4" lockText="1" noThreeD="1"/>
</file>

<file path=xl/ctrlProps/ctrlProp13.xml><?xml version="1.0" encoding="utf-8"?>
<formControlPr xmlns="http://schemas.microsoft.com/office/spreadsheetml/2009/9/main" objectType="CheckBox" fmlaLink="集計票!$EP$4" lockText="1" noThreeD="1"/>
</file>

<file path=xl/ctrlProps/ctrlProp14.xml><?xml version="1.0" encoding="utf-8"?>
<formControlPr xmlns="http://schemas.microsoft.com/office/spreadsheetml/2009/9/main" objectType="CheckBox" fmlaLink="集計票!$EQ$4" lockText="1" noThreeD="1"/>
</file>

<file path=xl/ctrlProps/ctrlProp15.xml><?xml version="1.0" encoding="utf-8"?>
<formControlPr xmlns="http://schemas.microsoft.com/office/spreadsheetml/2009/9/main" objectType="CheckBox" checked="Checked" fmlaLink="集計票!$ER$4" lockText="1" noThreeD="1"/>
</file>

<file path=xl/ctrlProps/ctrlProp16.xml><?xml version="1.0" encoding="utf-8"?>
<formControlPr xmlns="http://schemas.microsoft.com/office/spreadsheetml/2009/9/main" objectType="CheckBox" fmlaLink="集計票!$ET$4" lockText="1" noThreeD="1"/>
</file>

<file path=xl/ctrlProps/ctrlProp17.xml><?xml version="1.0" encoding="utf-8"?>
<formControlPr xmlns="http://schemas.microsoft.com/office/spreadsheetml/2009/9/main" objectType="CheckBox" fmlaLink="集計票!$EU$4" lockText="1" noThreeD="1"/>
</file>

<file path=xl/ctrlProps/ctrlProp18.xml><?xml version="1.0" encoding="utf-8"?>
<formControlPr xmlns="http://schemas.microsoft.com/office/spreadsheetml/2009/9/main" objectType="CheckBox" fmlaLink="集計票!$EW$4" lockText="1" noThreeD="1"/>
</file>

<file path=xl/ctrlProps/ctrlProp19.xml><?xml version="1.0" encoding="utf-8"?>
<formControlPr xmlns="http://schemas.microsoft.com/office/spreadsheetml/2009/9/main" objectType="CheckBox" fmlaLink="集計票!$EX$4" lockText="1" noThreeD="1"/>
</file>

<file path=xl/ctrlProps/ctrlProp20.xml><?xml version="1.0" encoding="utf-8"?>
<formControlPr xmlns="http://schemas.microsoft.com/office/spreadsheetml/2009/9/main" objectType="CheckBox" fmlaLink="集計票!$FE$4" lockText="1" noThreeD="1"/>
</file>

<file path=xl/ctrlProps/ctrlProp21.xml><?xml version="1.0" encoding="utf-8"?>
<formControlPr xmlns="http://schemas.microsoft.com/office/spreadsheetml/2009/9/main" objectType="CheckBox" fmlaLink="集計票!$EY$4" lockText="1" noThreeD="1"/>
</file>

<file path=xl/ctrlProps/ctrlProp22.xml><?xml version="1.0" encoding="utf-8"?>
<formControlPr xmlns="http://schemas.microsoft.com/office/spreadsheetml/2009/9/main" objectType="CheckBox" fmlaLink="集計票!$FC$4" lockText="1" noThreeD="1"/>
</file>

<file path=xl/ctrlProps/ctrlProp23.xml><?xml version="1.0" encoding="utf-8"?>
<formControlPr xmlns="http://schemas.microsoft.com/office/spreadsheetml/2009/9/main" objectType="CheckBox" fmlaLink="集計票!$FG$4" lockText="1" noThreeD="1"/>
</file>

<file path=xl/ctrlProps/ctrlProp24.xml><?xml version="1.0" encoding="utf-8"?>
<formControlPr xmlns="http://schemas.microsoft.com/office/spreadsheetml/2009/9/main" objectType="CheckBox" fmlaLink="集計票!$GB$4" lockText="1" noThreeD="1"/>
</file>

<file path=xl/ctrlProps/ctrlProp25.xml><?xml version="1.0" encoding="utf-8"?>
<formControlPr xmlns="http://schemas.microsoft.com/office/spreadsheetml/2009/9/main" objectType="CheckBox" fmlaLink="集計票!$GC$4" lockText="1" noThreeD="1"/>
</file>

<file path=xl/ctrlProps/ctrlProp26.xml><?xml version="1.0" encoding="utf-8"?>
<formControlPr xmlns="http://schemas.microsoft.com/office/spreadsheetml/2009/9/main" objectType="CheckBox" fmlaLink="集計票!$GD$4" lockText="1" noThreeD="1"/>
</file>

<file path=xl/ctrlProps/ctrlProp27.xml><?xml version="1.0" encoding="utf-8"?>
<formControlPr xmlns="http://schemas.microsoft.com/office/spreadsheetml/2009/9/main" objectType="CheckBox" fmlaLink="集計票!$GE$4" lockText="1" noThreeD="1"/>
</file>

<file path=xl/ctrlProps/ctrlProp28.xml><?xml version="1.0" encoding="utf-8"?>
<formControlPr xmlns="http://schemas.microsoft.com/office/spreadsheetml/2009/9/main" objectType="CheckBox" fmlaLink="集計票!$GF$4" lockText="1" noThreeD="1"/>
</file>

<file path=xl/ctrlProps/ctrlProp29.xml><?xml version="1.0" encoding="utf-8"?>
<formControlPr xmlns="http://schemas.microsoft.com/office/spreadsheetml/2009/9/main" objectType="CheckBox" fmlaLink="集計票!$GG$4" lockText="1" noThreeD="1"/>
</file>

<file path=xl/ctrlProps/ctrlProp30.xml><?xml version="1.0" encoding="utf-8"?>
<formControlPr xmlns="http://schemas.microsoft.com/office/spreadsheetml/2009/9/main" objectType="CheckBox" fmlaLink="集計票!$GH$4" lockText="1" noThreeD="1"/>
</file>

<file path=xl/ctrlProps/ctrlProp31.xml><?xml version="1.0" encoding="utf-8"?>
<formControlPr xmlns="http://schemas.microsoft.com/office/spreadsheetml/2009/9/main" objectType="CheckBox" fmlaLink="集計票!$GI$4" lockText="1" noThreeD="1"/>
</file>

<file path=xl/ctrlProps/ctrlProp32.xml><?xml version="1.0" encoding="utf-8"?>
<formControlPr xmlns="http://schemas.microsoft.com/office/spreadsheetml/2009/9/main" objectType="CheckBox" fmlaLink="集計票!$GK$4" lockText="1" noThreeD="1"/>
</file>

<file path=xl/ctrlProps/ctrlProp33.xml><?xml version="1.0" encoding="utf-8"?>
<formControlPr xmlns="http://schemas.microsoft.com/office/spreadsheetml/2009/9/main" objectType="CheckBox" fmlaLink="集計票!$GL$4" lockText="1" noThreeD="1"/>
</file>

<file path=xl/ctrlProps/ctrlProp34.xml><?xml version="1.0" encoding="utf-8"?>
<formControlPr xmlns="http://schemas.microsoft.com/office/spreadsheetml/2009/9/main" objectType="CheckBox" fmlaLink="集計票!$GM$4" lockText="1" noThreeD="1"/>
</file>

<file path=xl/ctrlProps/ctrlProp35.xml><?xml version="1.0" encoding="utf-8"?>
<formControlPr xmlns="http://schemas.microsoft.com/office/spreadsheetml/2009/9/main" objectType="CheckBox" fmlaLink="集計票!$GN$4" lockText="1" noThreeD="1"/>
</file>

<file path=xl/ctrlProps/ctrlProp36.xml><?xml version="1.0" encoding="utf-8"?>
<formControlPr xmlns="http://schemas.microsoft.com/office/spreadsheetml/2009/9/main" objectType="CheckBox" fmlaLink="集計票!$GP$4" lockText="1" noThreeD="1"/>
</file>

<file path=xl/ctrlProps/ctrlProp37.xml><?xml version="1.0" encoding="utf-8"?>
<formControlPr xmlns="http://schemas.microsoft.com/office/spreadsheetml/2009/9/main" objectType="CheckBox" fmlaLink="集計票!$GQ$4" lockText="1" noThreeD="1"/>
</file>

<file path=xl/ctrlProps/ctrlProp38.xml><?xml version="1.0" encoding="utf-8"?>
<formControlPr xmlns="http://schemas.microsoft.com/office/spreadsheetml/2009/9/main" objectType="CheckBox" fmlaLink="集計票!$GR$4" lockText="1" noThreeD="1"/>
</file>

<file path=xl/ctrlProps/ctrlProp39.xml><?xml version="1.0" encoding="utf-8"?>
<formControlPr xmlns="http://schemas.microsoft.com/office/spreadsheetml/2009/9/main" objectType="CheckBox" fmlaLink="集計票!$GT$4" lockText="1" noThreeD="1"/>
</file>

<file path=xl/ctrlProps/ctrlProp40.xml><?xml version="1.0" encoding="utf-8"?>
<formControlPr xmlns="http://schemas.microsoft.com/office/spreadsheetml/2009/9/main" objectType="CheckBox" fmlaLink="集計票!$GU$4" lockText="1" noThreeD="1"/>
</file>

<file path=xl/ctrlProps/ctrlProp41.xml><?xml version="1.0" encoding="utf-8"?>
<formControlPr xmlns="http://schemas.microsoft.com/office/spreadsheetml/2009/9/main" objectType="CheckBox" fmlaLink="集計票!$GV$4" lockText="1" noThreeD="1"/>
</file>

<file path=xl/ctrlProps/ctrlProp42.xml><?xml version="1.0" encoding="utf-8"?>
<formControlPr xmlns="http://schemas.microsoft.com/office/spreadsheetml/2009/9/main" objectType="CheckBox" fmlaLink="集計票!$GW$4" lockText="1" noThreeD="1"/>
</file>

<file path=xl/ctrlProps/ctrlProp43.xml><?xml version="1.0" encoding="utf-8"?>
<formControlPr xmlns="http://schemas.microsoft.com/office/spreadsheetml/2009/9/main" objectType="CheckBox" fmlaLink="集計票!$GX$4" lockText="1" noThreeD="1"/>
</file>

<file path=xl/ctrlProps/ctrlProp44.xml><?xml version="1.0" encoding="utf-8"?>
<formControlPr xmlns="http://schemas.microsoft.com/office/spreadsheetml/2009/9/main" objectType="CheckBox" fmlaLink="集計票!$GZ$4" lockText="1" noThreeD="1"/>
</file>

<file path=xl/ctrlProps/ctrlProp45.xml><?xml version="1.0" encoding="utf-8"?>
<formControlPr xmlns="http://schemas.microsoft.com/office/spreadsheetml/2009/9/main" objectType="CheckBox" fmlaLink="集計票!$HA$4" lockText="1" noThreeD="1"/>
</file>

<file path=xl/ctrlProps/ctrlProp46.xml><?xml version="1.0" encoding="utf-8"?>
<formControlPr xmlns="http://schemas.microsoft.com/office/spreadsheetml/2009/9/main" objectType="CheckBox" fmlaLink="集計票!$HB$4" lockText="1" noThreeD="1"/>
</file>

<file path=xl/ctrlProps/ctrlProp47.xml><?xml version="1.0" encoding="utf-8"?>
<formControlPr xmlns="http://schemas.microsoft.com/office/spreadsheetml/2009/9/main" objectType="CheckBox" fmlaLink="集計票!$HD$4" lockText="1" noThreeD="1"/>
</file>

<file path=xl/ctrlProps/ctrlProp48.xml><?xml version="1.0" encoding="utf-8"?>
<formControlPr xmlns="http://schemas.microsoft.com/office/spreadsheetml/2009/9/main" objectType="CheckBox" fmlaLink="集計票!$HE$4" lockText="1" noThreeD="1"/>
</file>

<file path=xl/ctrlProps/ctrlProp49.xml><?xml version="1.0" encoding="utf-8"?>
<formControlPr xmlns="http://schemas.microsoft.com/office/spreadsheetml/2009/9/main" objectType="CheckBox" fmlaLink="集計票!$HF$4" lockText="1" noThreeD="1"/>
</file>

<file path=xl/ctrlProps/ctrlProp50.xml><?xml version="1.0" encoding="utf-8"?>
<formControlPr xmlns="http://schemas.microsoft.com/office/spreadsheetml/2009/9/main" objectType="CheckBox" fmlaLink="集計票!$HG$4" lockText="1" noThreeD="1"/>
</file>

<file path=xl/ctrlProps/ctrlProp51.xml><?xml version="1.0" encoding="utf-8"?>
<formControlPr xmlns="http://schemas.microsoft.com/office/spreadsheetml/2009/9/main" objectType="CheckBox" fmlaLink="集計票!$HH$4" lockText="1" noThreeD="1"/>
</file>

<file path=xl/ctrlProps/ctrlProp52.xml><?xml version="1.0" encoding="utf-8"?>
<formControlPr xmlns="http://schemas.microsoft.com/office/spreadsheetml/2009/9/main" objectType="CheckBox" fmlaLink="集計票!$HJ$4" lockText="1" noThreeD="1"/>
</file>

<file path=xl/ctrlProps/ctrlProp53.xml><?xml version="1.0" encoding="utf-8"?>
<formControlPr xmlns="http://schemas.microsoft.com/office/spreadsheetml/2009/9/main" objectType="CheckBox" fmlaLink="集計票!$HK$4" lockText="1" noThreeD="1"/>
</file>

<file path=xl/ctrlProps/ctrlProp54.xml><?xml version="1.0" encoding="utf-8"?>
<formControlPr xmlns="http://schemas.microsoft.com/office/spreadsheetml/2009/9/main" objectType="CheckBox" fmlaLink="集計票!$HL$4" lockText="1" noThreeD="1"/>
</file>

<file path=xl/ctrlProps/ctrlProp55.xml><?xml version="1.0" encoding="utf-8"?>
<formControlPr xmlns="http://schemas.microsoft.com/office/spreadsheetml/2009/9/main" objectType="CheckBox" fmlaLink="集計票!$HM$4" lockText="1" noThreeD="1"/>
</file>

<file path=xl/ctrlProps/ctrlProp56.xml><?xml version="1.0" encoding="utf-8"?>
<formControlPr xmlns="http://schemas.microsoft.com/office/spreadsheetml/2009/9/main" objectType="CheckBox" fmlaLink="集計票!$HO$4" lockText="1" noThreeD="1"/>
</file>

<file path=xl/ctrlProps/ctrlProp57.xml><?xml version="1.0" encoding="utf-8"?>
<formControlPr xmlns="http://schemas.microsoft.com/office/spreadsheetml/2009/9/main" objectType="CheckBox" fmlaLink="集計票!$HP$4" lockText="1" noThreeD="1"/>
</file>

<file path=xl/ctrlProps/ctrlProp58.xml><?xml version="1.0" encoding="utf-8"?>
<formControlPr xmlns="http://schemas.microsoft.com/office/spreadsheetml/2009/9/main" objectType="CheckBox" fmlaLink="集計票!$HQ$4" lockText="1" noThreeD="1"/>
</file>

<file path=xl/ctrlProps/ctrlProp59.xml><?xml version="1.0" encoding="utf-8"?>
<formControlPr xmlns="http://schemas.microsoft.com/office/spreadsheetml/2009/9/main" objectType="CheckBox" fmlaLink="集計票!$EE$4" lockText="1" noThreeD="1"/>
</file>

<file path=xl/ctrlProps/ctrlProp60.xml><?xml version="1.0" encoding="utf-8"?>
<formControlPr xmlns="http://schemas.microsoft.com/office/spreadsheetml/2009/9/main" objectType="CheckBox" fmlaLink="集計票!$EF$4" lockText="1" noThreeD="1"/>
</file>

<file path=xl/ctrlProps/ctrlProp61.xml><?xml version="1.0" encoding="utf-8"?>
<formControlPr xmlns="http://schemas.microsoft.com/office/spreadsheetml/2009/9/main" objectType="CheckBox" fmlaLink="集計票!$EG$4" lockText="1" noThreeD="1"/>
</file>

<file path=xl/ctrlProps/ctrlProp62.xml><?xml version="1.0" encoding="utf-8"?>
<formControlPr xmlns="http://schemas.microsoft.com/office/spreadsheetml/2009/9/main" objectType="CheckBox" fmlaLink="集計票!$FA$4" lockText="1" noThreeD="1"/>
</file>

<file path=xl/ctrlProps/ctrlProp63.xml><?xml version="1.0" encoding="utf-8"?>
<formControlPr xmlns="http://schemas.microsoft.com/office/spreadsheetml/2009/9/main" objectType="CheckBox" fmlaLink="集計票!$DW$4" lockText="1" noThreeD="1"/>
</file>

<file path=xl/ctrlProps/ctrlProp64.xml><?xml version="1.0" encoding="utf-8"?>
<formControlPr xmlns="http://schemas.microsoft.com/office/spreadsheetml/2009/9/main" objectType="CheckBox" fmlaLink="集計票!$DX$4" lockText="1" noThreeD="1"/>
</file>

<file path=xl/ctrlProps/ctrlProp65.xml><?xml version="1.0" encoding="utf-8"?>
<formControlPr xmlns="http://schemas.microsoft.com/office/spreadsheetml/2009/9/main" objectType="CheckBox" fmlaLink="集計票!$DZ$4" lockText="1" noThreeD="1"/>
</file>

<file path=xl/ctrlProps/ctrlProp66.xml><?xml version="1.0" encoding="utf-8"?>
<formControlPr xmlns="http://schemas.microsoft.com/office/spreadsheetml/2009/9/main" objectType="CheckBox" fmlaLink="集計票!$FI$4" lockText="1" noThreeD="1"/>
</file>

<file path=xl/ctrlProps/ctrlProp67.xml><?xml version="1.0" encoding="utf-8"?>
<formControlPr xmlns="http://schemas.microsoft.com/office/spreadsheetml/2009/9/main" objectType="CheckBox" fmlaLink="集計票!$FL$4" lockText="1" noThreeD="1"/>
</file>

<file path=xl/ctrlProps/ctrlProp68.xml><?xml version="1.0" encoding="utf-8"?>
<formControlPr xmlns="http://schemas.microsoft.com/office/spreadsheetml/2009/9/main" objectType="CheckBox" fmlaLink="集計票!$FK$4" lockText="1" noThreeD="1"/>
</file>

<file path=xl/ctrlProps/ctrlProp69.xml><?xml version="1.0" encoding="utf-8"?>
<formControlPr xmlns="http://schemas.microsoft.com/office/spreadsheetml/2009/9/main" objectType="CheckBox" fmlaLink="集計票!$FM$4" lockText="1" noThreeD="1"/>
</file>

<file path=xl/ctrlProps/ctrlProp70.xml><?xml version="1.0" encoding="utf-8"?>
<formControlPr xmlns="http://schemas.microsoft.com/office/spreadsheetml/2009/9/main" objectType="CheckBox" checked="Checked" fmlaLink="集計票!$FJ$4" lockText="1" noThreeD="1"/>
</file>

<file path=xl/ctrlProps/ctrlProp71.xml><?xml version="1.0" encoding="utf-8"?>
<formControlPr xmlns="http://schemas.microsoft.com/office/spreadsheetml/2009/9/main" objectType="CheckBox" checked="Checked" fmlaLink="集計票!$FO$4" lockText="1" noThreeD="1"/>
</file>

<file path=xl/ctrlProps/ctrlProp72.xml><?xml version="1.0" encoding="utf-8"?>
<formControlPr xmlns="http://schemas.microsoft.com/office/spreadsheetml/2009/9/main" objectType="CheckBox" fmlaLink="集計票!$FP$4" lockText="1" noThreeD="1"/>
</file>

<file path=xl/ctrlProps/ctrlProp73.xml><?xml version="1.0" encoding="utf-8"?>
<formControlPr xmlns="http://schemas.microsoft.com/office/spreadsheetml/2009/9/main" objectType="CheckBox" fmlaLink="集計票!$FQ$4" lockText="1" noThreeD="1"/>
</file>

<file path=xl/ctrlProps/ctrlProp74.xml><?xml version="1.0" encoding="utf-8"?>
<formControlPr xmlns="http://schemas.microsoft.com/office/spreadsheetml/2009/9/main" objectType="CheckBox" checked="Checked" fmlaLink="集計票!$FR$4" lockText="1" noThreeD="1"/>
</file>

<file path=xl/ctrlProps/ctrlProp75.xml><?xml version="1.0" encoding="utf-8"?>
<formControlPr xmlns="http://schemas.microsoft.com/office/spreadsheetml/2009/9/main" objectType="CheckBox" checked="Checked" fmlaLink="集計票!$FS$4" lockText="1" noThreeD="1"/>
</file>

<file path=xl/ctrlProps/ctrlProp76.xml><?xml version="1.0" encoding="utf-8"?>
<formControlPr xmlns="http://schemas.microsoft.com/office/spreadsheetml/2009/9/main" objectType="CheckBox" fmlaLink="集計票!$FT$4" lockText="1" noThreeD="1"/>
</file>

<file path=xl/ctrlProps/ctrlProp77.xml><?xml version="1.0" encoding="utf-8"?>
<formControlPr xmlns="http://schemas.microsoft.com/office/spreadsheetml/2009/9/main" objectType="CheckBox" checked="Checked" fmlaLink="集計票!$FU$4" lockText="1" noThreeD="1"/>
</file>

<file path=xl/ctrlProps/ctrlProp78.xml><?xml version="1.0" encoding="utf-8"?>
<formControlPr xmlns="http://schemas.microsoft.com/office/spreadsheetml/2009/9/main" objectType="CheckBox" fmlaLink="集計票!$FV$4" lockText="1" noThreeD="1"/>
</file>

<file path=xl/ctrlProps/ctrlProp79.xml><?xml version="1.0" encoding="utf-8"?>
<formControlPr xmlns="http://schemas.microsoft.com/office/spreadsheetml/2009/9/main" objectType="CheckBox" fmlaLink="集計票!$FW$4" lockText="1" noThreeD="1"/>
</file>

<file path=xl/ctrlProps/ctrlProp80.xml><?xml version="1.0" encoding="utf-8"?>
<formControlPr xmlns="http://schemas.microsoft.com/office/spreadsheetml/2009/9/main" objectType="CheckBox" fmlaLink="集計票!$HS$4" lockText="1" noThreeD="1"/>
</file>

<file path=xl/ctrlProps/ctrlProp81.xml><?xml version="1.0" encoding="utf-8"?>
<formControlPr xmlns="http://schemas.microsoft.com/office/spreadsheetml/2009/9/main" objectType="CheckBox" fmlaLink="集計票!$HV$4" lockText="1" noThreeD="1"/>
</file>

<file path=xl/ctrlProps/ctrlProp82.xml><?xml version="1.0" encoding="utf-8"?>
<formControlPr xmlns="http://schemas.microsoft.com/office/spreadsheetml/2009/9/main" objectType="CheckBox" fmlaLink="集計票!#REF!" lockText="1" noThreeD="1"/>
</file>

<file path=xl/ctrlProps/ctrlProp83.xml><?xml version="1.0" encoding="utf-8"?>
<formControlPr xmlns="http://schemas.microsoft.com/office/spreadsheetml/2009/9/main" objectType="CheckBox" fmlaLink="集計票!$HW$4" lockText="1" noThreeD="1"/>
</file>

<file path=xl/ctrlProps/ctrlProp84.xml><?xml version="1.0" encoding="utf-8"?>
<formControlPr xmlns="http://schemas.microsoft.com/office/spreadsheetml/2009/9/main" objectType="CheckBox" fmlaLink="集計票!$HT$4" lockText="1" noThreeD="1"/>
</file>

<file path=xl/ctrlProps/ctrlProp85.xml><?xml version="1.0" encoding="utf-8"?>
<formControlPr xmlns="http://schemas.microsoft.com/office/spreadsheetml/2009/9/main" objectType="CheckBox" fmlaLink="集計票!$ES$4" lockText="1" noThreeD="1"/>
</file>

<file path=xl/ctrlProps/ctrlProp86.xml><?xml version="1.0" encoding="utf-8"?>
<formControlPr xmlns="http://schemas.microsoft.com/office/spreadsheetml/2009/9/main" objectType="CheckBox" fmlaLink="集計票!$HU$4" lockText="1" noThreeD="1"/>
</file>

<file path=xl/ctrlProps/ctrlProp87.xml><?xml version="1.0" encoding="utf-8"?>
<formControlPr xmlns="http://schemas.microsoft.com/office/spreadsheetml/2009/9/main" objectType="CheckBox" checked="Checked" fmlaLink="集計票!$EL$4" lockText="1" noThreeD="1"/>
</file>

<file path=xl/ctrlProps/ctrlProp88.xml><?xml version="1.0" encoding="utf-8"?>
<formControlPr xmlns="http://schemas.microsoft.com/office/spreadsheetml/2009/9/main" objectType="CheckBox" fmlaLink="集計票!$EN$4" lockText="1" noThreeD="1"/>
</file>

<file path=xl/ctrlProps/ctrlProp89.xml><?xml version="1.0" encoding="utf-8"?>
<formControlPr xmlns="http://schemas.microsoft.com/office/spreadsheetml/2009/9/main" objectType="CheckBox" fmlaLink="集計票!$EA$4" lockText="1" noThreeD="1"/>
</file>

<file path=xl/ctrlProps/ctrlProp90.xml><?xml version="1.0" encoding="utf-8"?>
<formControlPr xmlns="http://schemas.microsoft.com/office/spreadsheetml/2009/9/main" objectType="CheckBox" fmlaLink="集計票!$FF$4" lockText="1" noThreeD="1"/>
</file>

<file path=xl/ctrlProps/ctrlProp91.xml><?xml version="1.0" encoding="utf-8"?>
<formControlPr xmlns="http://schemas.microsoft.com/office/spreadsheetml/2009/9/main" objectType="CheckBox" fmlaLink="集計票!$CG$4" lockText="1" noThreeD="1"/>
</file>

<file path=xl/ctrlProps/ctrlProp92.xml><?xml version="1.0" encoding="utf-8"?>
<formControlPr xmlns="http://schemas.microsoft.com/office/spreadsheetml/2009/9/main" objectType="CheckBox" fmlaLink="集計票!$CH$4" lockText="1" noThreeD="1"/>
</file>

<file path=xl/ctrlProps/ctrlProp93.xml><?xml version="1.0" encoding="utf-8"?>
<formControlPr xmlns="http://schemas.microsoft.com/office/spreadsheetml/2009/9/main" objectType="CheckBox" fmlaLink="集計票!$CI$4" lockText="1" noThreeD="1"/>
</file>

<file path=xl/ctrlProps/ctrlProp94.xml><?xml version="1.0" encoding="utf-8"?>
<formControlPr xmlns="http://schemas.microsoft.com/office/spreadsheetml/2009/9/main" objectType="CheckBox" fmlaLink="集計票!$CJ$4" lockText="1" noThreeD="1"/>
</file>

<file path=xl/ctrlProps/ctrlProp95.xml><?xml version="1.0" encoding="utf-8"?>
<formControlPr xmlns="http://schemas.microsoft.com/office/spreadsheetml/2009/9/main" objectType="CheckBox" fmlaLink="集計票!$CK$4" lockText="1" noThreeD="1"/>
</file>

<file path=xl/ctrlProps/ctrlProp96.xml><?xml version="1.0" encoding="utf-8"?>
<formControlPr xmlns="http://schemas.microsoft.com/office/spreadsheetml/2009/9/main" objectType="CheckBox" checked="Checked" fmlaLink="集計票!$CL$4" lockText="1" noThreeD="1"/>
</file>

<file path=xl/ctrlProps/ctrlProp97.xml><?xml version="1.0" encoding="utf-8"?>
<formControlPr xmlns="http://schemas.microsoft.com/office/spreadsheetml/2009/9/main" objectType="CheckBox" fmlaLink="集計票!$CM$4" lockText="1" noThreeD="1"/>
</file>

<file path=xl/ctrlProps/ctrlProp98.xml><?xml version="1.0" encoding="utf-8"?>
<formControlPr xmlns="http://schemas.microsoft.com/office/spreadsheetml/2009/9/main" objectType="CheckBox" fmlaLink="集計票!$CN$4" lockText="1" noThreeD="1"/>
</file>

<file path=xl/ctrlProps/ctrlProp99.xml><?xml version="1.0" encoding="utf-8"?>
<formControlPr xmlns="http://schemas.microsoft.com/office/spreadsheetml/2009/9/main" objectType="CheckBox" fmlaLink="集計票!$CO$4" lockText="1" noThreeD="1"/>
</file>

<file path=xl/ctrlProps/ctrlProp100.xml><?xml version="1.0" encoding="utf-8"?>
<formControlPr xmlns="http://schemas.microsoft.com/office/spreadsheetml/2009/9/main" objectType="CheckBox" fmlaLink="集計票!$CP$4" lockText="1" noThreeD="1"/>
</file>

<file path=xl/ctrlProps/ctrlProp101.xml><?xml version="1.0" encoding="utf-8"?>
<formControlPr xmlns="http://schemas.microsoft.com/office/spreadsheetml/2009/9/main" objectType="CheckBox" fmlaLink="集計票!$CR$4" lockText="1" noThreeD="1"/>
</file>

<file path=xl/ctrlProps/ctrlProp102.xml><?xml version="1.0" encoding="utf-8"?>
<formControlPr xmlns="http://schemas.microsoft.com/office/spreadsheetml/2009/9/main" objectType="CheckBox" fmlaLink="集計票!$CS$4" lockText="1" noThreeD="1"/>
</file>

<file path=xl/ctrlProps/ctrlProp103.xml><?xml version="1.0" encoding="utf-8"?>
<formControlPr xmlns="http://schemas.microsoft.com/office/spreadsheetml/2009/9/main" objectType="CheckBox" fmlaLink="集計票!$CT$4" lockText="1" noThreeD="1"/>
</file>

<file path=xl/ctrlProps/ctrlProp104.xml><?xml version="1.0" encoding="utf-8"?>
<formControlPr xmlns="http://schemas.microsoft.com/office/spreadsheetml/2009/9/main" objectType="CheckBox" fmlaLink="集計票!$CU$4" lockText="1" noThreeD="1"/>
</file>

<file path=xl/ctrlProps/ctrlProp105.xml><?xml version="1.0" encoding="utf-8"?>
<formControlPr xmlns="http://schemas.microsoft.com/office/spreadsheetml/2009/9/main" objectType="CheckBox" fmlaLink="集計票!$CV$4" lockText="1" noThreeD="1"/>
</file>

<file path=xl/ctrlProps/ctrlProp106.xml><?xml version="1.0" encoding="utf-8"?>
<formControlPr xmlns="http://schemas.microsoft.com/office/spreadsheetml/2009/9/main" objectType="CheckBox" fmlaLink="集計票!$CX$4" lockText="1" noThreeD="1"/>
</file>

<file path=xl/ctrlProps/ctrlProp107.xml><?xml version="1.0" encoding="utf-8"?>
<formControlPr xmlns="http://schemas.microsoft.com/office/spreadsheetml/2009/9/main" objectType="CheckBox" fmlaLink="集計票!$CY$4" lockText="1" noThreeD="1"/>
</file>

<file path=xl/ctrlProps/ctrlProp108.xml><?xml version="1.0" encoding="utf-8"?>
<formControlPr xmlns="http://schemas.microsoft.com/office/spreadsheetml/2009/9/main" objectType="CheckBox" fmlaLink="集計票!$CZ$4" lockText="1" noThreeD="1"/>
</file>

<file path=xl/ctrlProps/ctrlProp109.xml><?xml version="1.0" encoding="utf-8"?>
<formControlPr xmlns="http://schemas.microsoft.com/office/spreadsheetml/2009/9/main" objectType="CheckBox" fmlaLink="集計票!$DA$4" lockText="1" noThreeD="1"/>
</file>

<file path=xl/ctrlProps/ctrlProp110.xml><?xml version="1.0" encoding="utf-8"?>
<formControlPr xmlns="http://schemas.microsoft.com/office/spreadsheetml/2009/9/main" objectType="CheckBox" fmlaLink="集計票!$DC$4" lockText="1" noThreeD="1"/>
</file>

<file path=xl/ctrlProps/ctrlProp111.xml><?xml version="1.0" encoding="utf-8"?>
<formControlPr xmlns="http://schemas.microsoft.com/office/spreadsheetml/2009/9/main" objectType="CheckBox" fmlaLink="集計票!$DD$4" lockText="1" noThreeD="1"/>
</file>

<file path=xl/ctrlProps/ctrlProp112.xml><?xml version="1.0" encoding="utf-8"?>
<formControlPr xmlns="http://schemas.microsoft.com/office/spreadsheetml/2009/9/main" objectType="CheckBox" fmlaLink="集計票!$DE$4" lockText="1" noThreeD="1"/>
</file>

<file path=xl/ctrlProps/ctrlProp113.xml><?xml version="1.0" encoding="utf-8"?>
<formControlPr xmlns="http://schemas.microsoft.com/office/spreadsheetml/2009/9/main" objectType="CheckBox" fmlaLink="集計票!$DF$4" lockText="1" noThreeD="1"/>
</file>

<file path=xl/ctrlProps/ctrlProp114.xml><?xml version="1.0" encoding="utf-8"?>
<formControlPr xmlns="http://schemas.microsoft.com/office/spreadsheetml/2009/9/main" objectType="CheckBox" fmlaLink="集計票!$DH$4" lockText="1" noThreeD="1"/>
</file>

<file path=xl/ctrlProps/ctrlProp115.xml><?xml version="1.0" encoding="utf-8"?>
<formControlPr xmlns="http://schemas.microsoft.com/office/spreadsheetml/2009/9/main" objectType="CheckBox" fmlaLink="集計票!$DI$4" lockText="1" noThreeD="1"/>
</file>

<file path=xl/ctrlProps/ctrlProp116.xml><?xml version="1.0" encoding="utf-8"?>
<formControlPr xmlns="http://schemas.microsoft.com/office/spreadsheetml/2009/9/main" objectType="CheckBox" fmlaLink="集計票!$DJ$4" lockText="1" noThreeD="1"/>
</file>

<file path=xl/ctrlProps/ctrlProp117.xml><?xml version="1.0" encoding="utf-8"?>
<formControlPr xmlns="http://schemas.microsoft.com/office/spreadsheetml/2009/9/main" objectType="CheckBox" fmlaLink="集計票!$DK$4" lockText="1" noThreeD="1"/>
</file>

<file path=xl/ctrlProps/ctrlProp118.xml><?xml version="1.0" encoding="utf-8"?>
<formControlPr xmlns="http://schemas.microsoft.com/office/spreadsheetml/2009/9/main" objectType="CheckBox" fmlaLink="集計票!$DL$4" lockText="1" noThreeD="1"/>
</file>

<file path=xl/ctrlProps/ctrlProp119.xml><?xml version="1.0" encoding="utf-8"?>
<formControlPr xmlns="http://schemas.microsoft.com/office/spreadsheetml/2009/9/main" objectType="CheckBox" fmlaLink="集計票!$DM$4" lockText="1" noThreeD="1"/>
</file>

<file path=xl/drawings/drawing1.xml><?xml version="1.0" encoding="utf-8"?>
<xdr:wsDr xmlns:xdr="http://schemas.openxmlformats.org/drawingml/2006/spreadsheetDrawing" xmlns:a="http://schemas.openxmlformats.org/drawingml/2006/main">
  <xdr:twoCellAnchor>
    <xdr:from>
      <xdr:col>36</xdr:col>
      <xdr:colOff>0</xdr:colOff>
      <xdr:row>146</xdr:row>
      <xdr:rowOff>0</xdr:rowOff>
    </xdr:from>
    <xdr:to>
      <xdr:col>36</xdr:col>
      <xdr:colOff>108000</xdr:colOff>
      <xdr:row>149</xdr:row>
      <xdr:rowOff>1</xdr:rowOff>
    </xdr:to>
    <xdr:sp macro="" textlink="">
      <xdr:nvSpPr>
        <xdr:cNvPr id="2" name="右大かっこ 1">
          <a:extLst>
            <a:ext uri="{FF2B5EF4-FFF2-40B4-BE49-F238E27FC236}">
              <a16:creationId xmlns:a16="http://schemas.microsoft.com/office/drawing/2014/main" id="{00000000-0008-0000-0000-000002000000}"/>
            </a:ext>
          </a:extLst>
        </xdr:cNvPr>
        <xdr:cNvSpPr/>
      </xdr:nvSpPr>
      <xdr:spPr>
        <a:xfrm>
          <a:off x="6343650" y="24869775"/>
          <a:ext cx="108000" cy="457201"/>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72974</xdr:colOff>
      <xdr:row>146</xdr:row>
      <xdr:rowOff>0</xdr:rowOff>
    </xdr:from>
    <xdr:to>
      <xdr:col>5</xdr:col>
      <xdr:colOff>180974</xdr:colOff>
      <xdr:row>148</xdr:row>
      <xdr:rowOff>152398</xdr:rowOff>
    </xdr:to>
    <xdr:sp macro="" textlink="">
      <xdr:nvSpPr>
        <xdr:cNvPr id="3" name="右大かっこ 2">
          <a:extLst>
            <a:ext uri="{FF2B5EF4-FFF2-40B4-BE49-F238E27FC236}">
              <a16:creationId xmlns:a16="http://schemas.microsoft.com/office/drawing/2014/main" id="{00000000-0008-0000-0000-000003000000}"/>
            </a:ext>
          </a:extLst>
        </xdr:cNvPr>
        <xdr:cNvSpPr/>
      </xdr:nvSpPr>
      <xdr:spPr>
        <a:xfrm rot="10800000">
          <a:off x="806399" y="24869775"/>
          <a:ext cx="108000" cy="457198"/>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39</xdr:col>
      <xdr:colOff>0</xdr:colOff>
      <xdr:row>267</xdr:row>
      <xdr:rowOff>0</xdr:rowOff>
    </xdr:from>
    <xdr:to>
      <xdr:col>39</xdr:col>
      <xdr:colOff>108000</xdr:colOff>
      <xdr:row>270</xdr:row>
      <xdr:rowOff>0</xdr:rowOff>
    </xdr:to>
    <xdr:sp macro="" textlink="">
      <xdr:nvSpPr>
        <xdr:cNvPr id="4" name="右大かっこ 3">
          <a:extLst>
            <a:ext uri="{FF2B5EF4-FFF2-40B4-BE49-F238E27FC236}">
              <a16:creationId xmlns:a16="http://schemas.microsoft.com/office/drawing/2014/main" id="{00000000-0008-0000-0000-000004000000}"/>
            </a:ext>
          </a:extLst>
        </xdr:cNvPr>
        <xdr:cNvSpPr/>
      </xdr:nvSpPr>
      <xdr:spPr>
        <a:xfrm>
          <a:off x="6886575" y="43815000"/>
          <a:ext cx="108000" cy="4572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72973</xdr:colOff>
      <xdr:row>267</xdr:row>
      <xdr:rowOff>0</xdr:rowOff>
    </xdr:from>
    <xdr:to>
      <xdr:col>6</xdr:col>
      <xdr:colOff>0</xdr:colOff>
      <xdr:row>270</xdr:row>
      <xdr:rowOff>0</xdr:rowOff>
    </xdr:to>
    <xdr:sp macro="" textlink="">
      <xdr:nvSpPr>
        <xdr:cNvPr id="5" name="右大かっこ 4">
          <a:extLst>
            <a:ext uri="{FF2B5EF4-FFF2-40B4-BE49-F238E27FC236}">
              <a16:creationId xmlns:a16="http://schemas.microsoft.com/office/drawing/2014/main" id="{00000000-0008-0000-0000-000005000000}"/>
            </a:ext>
          </a:extLst>
        </xdr:cNvPr>
        <xdr:cNvSpPr/>
      </xdr:nvSpPr>
      <xdr:spPr>
        <a:xfrm rot="10800000">
          <a:off x="806398" y="43815000"/>
          <a:ext cx="108002" cy="4572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72974</xdr:colOff>
      <xdr:row>211</xdr:row>
      <xdr:rowOff>57149</xdr:rowOff>
    </xdr:from>
    <xdr:to>
      <xdr:col>5</xdr:col>
      <xdr:colOff>180974</xdr:colOff>
      <xdr:row>217</xdr:row>
      <xdr:rowOff>0</xdr:rowOff>
    </xdr:to>
    <xdr:sp macro="" textlink="">
      <xdr:nvSpPr>
        <xdr:cNvPr id="6" name="右大かっこ 5">
          <a:extLst>
            <a:ext uri="{FF2B5EF4-FFF2-40B4-BE49-F238E27FC236}">
              <a16:creationId xmlns:a16="http://schemas.microsoft.com/office/drawing/2014/main" id="{00000000-0008-0000-0000-000006000000}"/>
            </a:ext>
          </a:extLst>
        </xdr:cNvPr>
        <xdr:cNvSpPr/>
      </xdr:nvSpPr>
      <xdr:spPr>
        <a:xfrm rot="10800000">
          <a:off x="806399" y="33756599"/>
          <a:ext cx="108000" cy="762001"/>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38</xdr:col>
      <xdr:colOff>180974</xdr:colOff>
      <xdr:row>212</xdr:row>
      <xdr:rowOff>0</xdr:rowOff>
    </xdr:from>
    <xdr:to>
      <xdr:col>39</xdr:col>
      <xdr:colOff>107999</xdr:colOff>
      <xdr:row>217</xdr:row>
      <xdr:rowOff>0</xdr:rowOff>
    </xdr:to>
    <xdr:sp macro="" textlink="">
      <xdr:nvSpPr>
        <xdr:cNvPr id="7" name="右大かっこ 6">
          <a:extLst>
            <a:ext uri="{FF2B5EF4-FFF2-40B4-BE49-F238E27FC236}">
              <a16:creationId xmlns:a16="http://schemas.microsoft.com/office/drawing/2014/main" id="{00000000-0008-0000-0000-000007000000}"/>
            </a:ext>
          </a:extLst>
        </xdr:cNvPr>
        <xdr:cNvSpPr/>
      </xdr:nvSpPr>
      <xdr:spPr>
        <a:xfrm>
          <a:off x="6886574" y="33756600"/>
          <a:ext cx="108000" cy="7620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72973</xdr:colOff>
      <xdr:row>232</xdr:row>
      <xdr:rowOff>152399</xdr:rowOff>
    </xdr:from>
    <xdr:to>
      <xdr:col>5</xdr:col>
      <xdr:colOff>180974</xdr:colOff>
      <xdr:row>237</xdr:row>
      <xdr:rowOff>152399</xdr:rowOff>
    </xdr:to>
    <xdr:sp macro="" textlink="">
      <xdr:nvSpPr>
        <xdr:cNvPr id="8" name="右大かっこ 7">
          <a:extLst>
            <a:ext uri="{FF2B5EF4-FFF2-40B4-BE49-F238E27FC236}">
              <a16:creationId xmlns:a16="http://schemas.microsoft.com/office/drawing/2014/main" id="{00000000-0008-0000-0000-000008000000}"/>
            </a:ext>
          </a:extLst>
        </xdr:cNvPr>
        <xdr:cNvSpPr/>
      </xdr:nvSpPr>
      <xdr:spPr>
        <a:xfrm rot="10800000">
          <a:off x="806398" y="37147499"/>
          <a:ext cx="108001" cy="7620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38</xdr:col>
      <xdr:colOff>180974</xdr:colOff>
      <xdr:row>233</xdr:row>
      <xdr:rowOff>0</xdr:rowOff>
    </xdr:from>
    <xdr:to>
      <xdr:col>39</xdr:col>
      <xdr:colOff>107999</xdr:colOff>
      <xdr:row>238</xdr:row>
      <xdr:rowOff>0</xdr:rowOff>
    </xdr:to>
    <xdr:sp macro="" textlink="">
      <xdr:nvSpPr>
        <xdr:cNvPr id="9" name="右大かっこ 8">
          <a:extLst>
            <a:ext uri="{FF2B5EF4-FFF2-40B4-BE49-F238E27FC236}">
              <a16:creationId xmlns:a16="http://schemas.microsoft.com/office/drawing/2014/main" id="{00000000-0008-0000-0000-000009000000}"/>
            </a:ext>
          </a:extLst>
        </xdr:cNvPr>
        <xdr:cNvSpPr/>
      </xdr:nvSpPr>
      <xdr:spPr>
        <a:xfrm>
          <a:off x="6886574" y="37147500"/>
          <a:ext cx="108000" cy="7620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72970</xdr:colOff>
      <xdr:row>248</xdr:row>
      <xdr:rowOff>28572</xdr:rowOff>
    </xdr:from>
    <xdr:to>
      <xdr:col>5</xdr:col>
      <xdr:colOff>158700</xdr:colOff>
      <xdr:row>253</xdr:row>
      <xdr:rowOff>276223</xdr:rowOff>
    </xdr:to>
    <xdr:sp macro="" textlink="">
      <xdr:nvSpPr>
        <xdr:cNvPr id="10" name="右大かっこ 9">
          <a:extLst>
            <a:ext uri="{FF2B5EF4-FFF2-40B4-BE49-F238E27FC236}">
              <a16:creationId xmlns:a16="http://schemas.microsoft.com/office/drawing/2014/main" id="{00000000-0008-0000-0000-00000A000000}"/>
            </a:ext>
          </a:extLst>
        </xdr:cNvPr>
        <xdr:cNvSpPr/>
      </xdr:nvSpPr>
      <xdr:spPr>
        <a:xfrm rot="10800000">
          <a:off x="806395" y="40043097"/>
          <a:ext cx="85730" cy="1628776"/>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39</xdr:col>
      <xdr:colOff>0</xdr:colOff>
      <xdr:row>248</xdr:row>
      <xdr:rowOff>28574</xdr:rowOff>
    </xdr:from>
    <xdr:to>
      <xdr:col>39</xdr:col>
      <xdr:colOff>85726</xdr:colOff>
      <xdr:row>253</xdr:row>
      <xdr:rowOff>276224</xdr:rowOff>
    </xdr:to>
    <xdr:sp macro="" textlink="">
      <xdr:nvSpPr>
        <xdr:cNvPr id="11" name="右大かっこ 10">
          <a:extLst>
            <a:ext uri="{FF2B5EF4-FFF2-40B4-BE49-F238E27FC236}">
              <a16:creationId xmlns:a16="http://schemas.microsoft.com/office/drawing/2014/main" id="{00000000-0008-0000-0000-00000B000000}"/>
            </a:ext>
          </a:extLst>
        </xdr:cNvPr>
        <xdr:cNvSpPr/>
      </xdr:nvSpPr>
      <xdr:spPr>
        <a:xfrm>
          <a:off x="6886575" y="40043099"/>
          <a:ext cx="85726" cy="1628775"/>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5</xdr:col>
      <xdr:colOff>72973</xdr:colOff>
      <xdr:row>339</xdr:row>
      <xdr:rowOff>0</xdr:rowOff>
    </xdr:from>
    <xdr:to>
      <xdr:col>5</xdr:col>
      <xdr:colOff>180974</xdr:colOff>
      <xdr:row>345</xdr:row>
      <xdr:rowOff>152399</xdr:rowOff>
    </xdr:to>
    <xdr:sp macro="" textlink="">
      <xdr:nvSpPr>
        <xdr:cNvPr id="12" name="右大かっこ 11">
          <a:extLst>
            <a:ext uri="{FF2B5EF4-FFF2-40B4-BE49-F238E27FC236}">
              <a16:creationId xmlns:a16="http://schemas.microsoft.com/office/drawing/2014/main" id="{00000000-0008-0000-0000-00000C000000}"/>
            </a:ext>
          </a:extLst>
        </xdr:cNvPr>
        <xdr:cNvSpPr/>
      </xdr:nvSpPr>
      <xdr:spPr>
        <a:xfrm rot="10800000">
          <a:off x="806398" y="54292500"/>
          <a:ext cx="108001" cy="1066799"/>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38</xdr:col>
      <xdr:colOff>180974</xdr:colOff>
      <xdr:row>339</xdr:row>
      <xdr:rowOff>0</xdr:rowOff>
    </xdr:from>
    <xdr:to>
      <xdr:col>39</xdr:col>
      <xdr:colOff>107999</xdr:colOff>
      <xdr:row>346</xdr:row>
      <xdr:rowOff>0</xdr:rowOff>
    </xdr:to>
    <xdr:sp macro="" textlink="">
      <xdr:nvSpPr>
        <xdr:cNvPr id="13" name="右大かっこ 12">
          <a:extLst>
            <a:ext uri="{FF2B5EF4-FFF2-40B4-BE49-F238E27FC236}">
              <a16:creationId xmlns:a16="http://schemas.microsoft.com/office/drawing/2014/main" id="{00000000-0008-0000-0000-00000D000000}"/>
            </a:ext>
          </a:extLst>
        </xdr:cNvPr>
        <xdr:cNvSpPr/>
      </xdr:nvSpPr>
      <xdr:spPr>
        <a:xfrm>
          <a:off x="6886574" y="54292500"/>
          <a:ext cx="108000" cy="10668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35</xdr:col>
      <xdr:colOff>28574</xdr:colOff>
      <xdr:row>66</xdr:row>
      <xdr:rowOff>47624</xdr:rowOff>
    </xdr:from>
    <xdr:to>
      <xdr:col>36</xdr:col>
      <xdr:colOff>166424</xdr:colOff>
      <xdr:row>67</xdr:row>
      <xdr:rowOff>145124</xdr:rowOff>
    </xdr:to>
    <xdr:sp macro="" textlink="">
      <xdr:nvSpPr>
        <xdr:cNvPr id="14" name="右中かっこ 13">
          <a:extLst>
            <a:ext uri="{FF2B5EF4-FFF2-40B4-BE49-F238E27FC236}">
              <a16:creationId xmlns:a16="http://schemas.microsoft.com/office/drawing/2014/main" id="{00000000-0008-0000-0000-00000E000000}"/>
            </a:ext>
          </a:extLst>
        </xdr:cNvPr>
        <xdr:cNvSpPr/>
      </xdr:nvSpPr>
      <xdr:spPr>
        <a:xfrm>
          <a:off x="6191249" y="12230099"/>
          <a:ext cx="318825" cy="288000"/>
        </a:xfrm>
        <a:prstGeom prst="rightBrace">
          <a:avLst/>
        </a:prstGeom>
        <a:ln w="12700" cap="rnd">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twoCellAnchor>
    <xdr:from>
      <xdr:col>33</xdr:col>
      <xdr:colOff>133350</xdr:colOff>
      <xdr:row>68</xdr:row>
      <xdr:rowOff>104775</xdr:rowOff>
    </xdr:from>
    <xdr:to>
      <xdr:col>36</xdr:col>
      <xdr:colOff>166425</xdr:colOff>
      <xdr:row>70</xdr:row>
      <xdr:rowOff>83775</xdr:rowOff>
    </xdr:to>
    <xdr:sp macro="" textlink="">
      <xdr:nvSpPr>
        <xdr:cNvPr id="15" name="右中かっこ 14">
          <a:extLst>
            <a:ext uri="{FF2B5EF4-FFF2-40B4-BE49-F238E27FC236}">
              <a16:creationId xmlns:a16="http://schemas.microsoft.com/office/drawing/2014/main" id="{00000000-0008-0000-0000-00000F000000}"/>
            </a:ext>
          </a:extLst>
        </xdr:cNvPr>
        <xdr:cNvSpPr/>
      </xdr:nvSpPr>
      <xdr:spPr>
        <a:xfrm>
          <a:off x="5934075" y="12706350"/>
          <a:ext cx="576000" cy="360000"/>
        </a:xfrm>
        <a:prstGeom prst="rightBrace">
          <a:avLst/>
        </a:prstGeom>
        <a:ln w="12700" cap="rnd">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oneCellAnchor>
    <xdr:from>
      <xdr:col>46</xdr:col>
      <xdr:colOff>40984</xdr:colOff>
      <xdr:row>66</xdr:row>
      <xdr:rowOff>42431</xdr:rowOff>
    </xdr:from>
    <xdr:ext cx="184731" cy="264560"/>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8727784" y="12224906"/>
          <a:ext cx="184731" cy="264560"/>
        </a:xfrm>
        <a:prstGeom prst="rect">
          <a:avLst/>
        </a:prstGeom>
        <a:ln w="15875">
          <a:noFill/>
        </a:ln>
      </xdr:spPr>
      <xdr:style>
        <a:lnRef idx="1">
          <a:schemeClr val="accent1"/>
        </a:lnRef>
        <a:fillRef idx="0">
          <a:schemeClr val="accent1"/>
        </a:fillRef>
        <a:effectRef idx="0">
          <a:schemeClr val="accent1"/>
        </a:effectRef>
        <a:fontRef idx="minor">
          <a:schemeClr val="tx1"/>
        </a:fontRef>
      </xdr:style>
      <xdr:txBody>
        <a:bodyPr vertOverflow="clip" wrap="none" rtlCol="0" anchor="ctr">
          <a:spAutoFit/>
        </a:bodyPr>
        <a:lstStyle/>
        <a:p>
          <a:endParaRPr lang="ja-JP" altLang="en-US"/>
        </a:p>
      </xdr:txBody>
    </xdr:sp>
    <xdr:clientData/>
  </xdr:oneCellAnchor>
  <xdr:oneCellAnchor>
    <xdr:from>
      <xdr:col>36</xdr:col>
      <xdr:colOff>171450</xdr:colOff>
      <xdr:row>66</xdr:row>
      <xdr:rowOff>37037</xdr:rowOff>
    </xdr:from>
    <xdr:ext cx="538609" cy="383438"/>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6515100" y="12219512"/>
          <a:ext cx="538609" cy="383438"/>
        </a:xfrm>
        <a:prstGeom prst="rect">
          <a:avLst/>
        </a:prstGeom>
        <a:ln w="15875">
          <a:noFill/>
        </a:ln>
      </xdr:spPr>
      <xdr:style>
        <a:lnRef idx="1">
          <a:schemeClr val="accent1"/>
        </a:lnRef>
        <a:fillRef idx="0">
          <a:schemeClr val="accent1"/>
        </a:fillRef>
        <a:effectRef idx="0">
          <a:schemeClr val="accent1"/>
        </a:effectRef>
        <a:fontRef idx="minor">
          <a:schemeClr val="tx1"/>
        </a:fontRef>
      </xdr:style>
      <xdr:txBody>
        <a:bodyPr vertOverflow="clip" wrap="none" lIns="0" tIns="0" rIns="0" bIns="0" rtlCol="0" anchor="ctr">
          <a:spAutoFit/>
        </a:bodyPr>
        <a:lstStyle/>
        <a:p>
          <a:pPr algn="l"/>
          <a:r>
            <a:rPr kumimoji="1" lang="ja-JP" altLang="en-US" sz="600">
              <a:latin typeface="ＭＳ ゴシック" pitchFamily="49" charset="-128"/>
              <a:ea typeface="ＭＳ ゴシック" pitchFamily="49" charset="-128"/>
            </a:rPr>
            <a:t>以下の</a:t>
          </a:r>
          <a:endParaRPr kumimoji="1" lang="en-US" altLang="ja-JP" sz="600">
            <a:latin typeface="ＭＳ ゴシック" pitchFamily="49" charset="-128"/>
            <a:ea typeface="ＭＳ ゴシック" pitchFamily="49" charset="-128"/>
          </a:endParaRPr>
        </a:p>
        <a:p>
          <a:pPr algn="l"/>
          <a:r>
            <a:rPr kumimoji="1" lang="ja-JP" altLang="en-US" sz="1100" b="1" baseline="0">
              <a:latin typeface="ＭＳ ゴシック" pitchFamily="49" charset="-128"/>
              <a:ea typeface="ＭＳ ゴシック" pitchFamily="49" charset="-128"/>
            </a:rPr>
            <a:t> </a:t>
          </a:r>
          <a:r>
            <a:rPr kumimoji="1" lang="ja-JP" altLang="en-US" sz="1100" b="1">
              <a:latin typeface="ＭＳ ゴシック" pitchFamily="49" charset="-128"/>
              <a:ea typeface="ＭＳ ゴシック" pitchFamily="49" charset="-128"/>
            </a:rPr>
            <a:t>Ｂ</a:t>
          </a:r>
          <a:endParaRPr kumimoji="1" lang="en-US" altLang="ja-JP" sz="1100" b="1">
            <a:latin typeface="ＭＳ ゴシック" pitchFamily="49" charset="-128"/>
            <a:ea typeface="ＭＳ ゴシック" pitchFamily="49" charset="-128"/>
          </a:endParaRPr>
        </a:p>
        <a:p>
          <a:pPr algn="l"/>
          <a:r>
            <a:rPr kumimoji="1" lang="ja-JP" altLang="en-US" sz="600">
              <a:latin typeface="ＭＳ ゴシック" pitchFamily="49" charset="-128"/>
              <a:ea typeface="ＭＳ ゴシック" pitchFamily="49" charset="-128"/>
            </a:rPr>
            <a:t>を回答願います</a:t>
          </a:r>
        </a:p>
      </xdr:txBody>
    </xdr:sp>
    <xdr:clientData/>
  </xdr:oneCellAnchor>
  <xdr:oneCellAnchor>
    <xdr:from>
      <xdr:col>36</xdr:col>
      <xdr:colOff>171450</xdr:colOff>
      <xdr:row>68</xdr:row>
      <xdr:rowOff>141721</xdr:rowOff>
    </xdr:from>
    <xdr:ext cx="538609" cy="383438"/>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6515100" y="12705196"/>
          <a:ext cx="538609" cy="383438"/>
        </a:xfrm>
        <a:prstGeom prst="rect">
          <a:avLst/>
        </a:prstGeom>
        <a:ln w="15875">
          <a:noFill/>
        </a:ln>
      </xdr:spPr>
      <xdr:style>
        <a:lnRef idx="1">
          <a:schemeClr val="accent1"/>
        </a:lnRef>
        <a:fillRef idx="0">
          <a:schemeClr val="accent1"/>
        </a:fillRef>
        <a:effectRef idx="0">
          <a:schemeClr val="accent1"/>
        </a:effectRef>
        <a:fontRef idx="minor">
          <a:schemeClr val="tx1"/>
        </a:fontRef>
      </xdr:style>
      <xdr:txBody>
        <a:bodyPr vertOverflow="clip" wrap="none" lIns="0" tIns="0" rIns="0" bIns="0" rtlCol="0" anchor="ctr">
          <a:spAutoFit/>
        </a:bodyPr>
        <a:lstStyle/>
        <a:p>
          <a:pPr algn="l"/>
          <a:r>
            <a:rPr kumimoji="1" lang="ja-JP" altLang="en-US" sz="600">
              <a:latin typeface="ＭＳ ゴシック" pitchFamily="49" charset="-128"/>
              <a:ea typeface="ＭＳ ゴシック" pitchFamily="49" charset="-128"/>
            </a:rPr>
            <a:t>以下の</a:t>
          </a:r>
          <a:endParaRPr kumimoji="1" lang="en-US" altLang="ja-JP" sz="600">
            <a:latin typeface="ＭＳ ゴシック" pitchFamily="49" charset="-128"/>
            <a:ea typeface="ＭＳ ゴシック" pitchFamily="49" charset="-128"/>
          </a:endParaRPr>
        </a:p>
        <a:p>
          <a:pPr algn="l"/>
          <a:r>
            <a:rPr kumimoji="1" lang="ja-JP" altLang="en-US" sz="1100" b="1" baseline="0">
              <a:latin typeface="ＭＳ ゴシック" pitchFamily="49" charset="-128"/>
              <a:ea typeface="ＭＳ ゴシック" pitchFamily="49" charset="-128"/>
            </a:rPr>
            <a:t> Ｃ</a:t>
          </a:r>
          <a:endParaRPr kumimoji="1" lang="en-US" altLang="ja-JP" sz="1100" b="1">
            <a:latin typeface="ＭＳ ゴシック" pitchFamily="49" charset="-128"/>
            <a:ea typeface="ＭＳ ゴシック" pitchFamily="49" charset="-128"/>
          </a:endParaRPr>
        </a:p>
        <a:p>
          <a:pPr algn="l"/>
          <a:r>
            <a:rPr kumimoji="1" lang="ja-JP" altLang="en-US" sz="600">
              <a:latin typeface="ＭＳ ゴシック" pitchFamily="49" charset="-128"/>
              <a:ea typeface="ＭＳ ゴシック" pitchFamily="49" charset="-128"/>
            </a:rPr>
            <a:t>を回答願います</a:t>
          </a:r>
        </a:p>
      </xdr:txBody>
    </xdr:sp>
    <xdr:clientData/>
  </xdr:oneCellAnchor>
  <xdr:twoCellAnchor>
    <xdr:from>
      <xdr:col>5</xdr:col>
      <xdr:colOff>72971</xdr:colOff>
      <xdr:row>349</xdr:row>
      <xdr:rowOff>57148</xdr:rowOff>
    </xdr:from>
    <xdr:to>
      <xdr:col>5</xdr:col>
      <xdr:colOff>180974</xdr:colOff>
      <xdr:row>362</xdr:row>
      <xdr:rowOff>0</xdr:rowOff>
    </xdr:to>
    <xdr:sp macro="" textlink="">
      <xdr:nvSpPr>
        <xdr:cNvPr id="19" name="右大かっこ 18">
          <a:extLst>
            <a:ext uri="{FF2B5EF4-FFF2-40B4-BE49-F238E27FC236}">
              <a16:creationId xmlns:a16="http://schemas.microsoft.com/office/drawing/2014/main" id="{00000000-0008-0000-0000-000013000000}"/>
            </a:ext>
          </a:extLst>
        </xdr:cNvPr>
        <xdr:cNvSpPr/>
      </xdr:nvSpPr>
      <xdr:spPr>
        <a:xfrm rot="10800000">
          <a:off x="806396" y="55883173"/>
          <a:ext cx="108003" cy="3314702"/>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38</xdr:col>
      <xdr:colOff>180974</xdr:colOff>
      <xdr:row>350</xdr:row>
      <xdr:rowOff>0</xdr:rowOff>
    </xdr:from>
    <xdr:to>
      <xdr:col>39</xdr:col>
      <xdr:colOff>107998</xdr:colOff>
      <xdr:row>362</xdr:row>
      <xdr:rowOff>0</xdr:rowOff>
    </xdr:to>
    <xdr:sp macro="" textlink="">
      <xdr:nvSpPr>
        <xdr:cNvPr id="20" name="右大かっこ 19">
          <a:extLst>
            <a:ext uri="{FF2B5EF4-FFF2-40B4-BE49-F238E27FC236}">
              <a16:creationId xmlns:a16="http://schemas.microsoft.com/office/drawing/2014/main" id="{00000000-0008-0000-0000-000014000000}"/>
            </a:ext>
          </a:extLst>
        </xdr:cNvPr>
        <xdr:cNvSpPr/>
      </xdr:nvSpPr>
      <xdr:spPr>
        <a:xfrm>
          <a:off x="6886574" y="55883175"/>
          <a:ext cx="107999" cy="3314700"/>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4</xdr:col>
          <xdr:colOff>165100</xdr:colOff>
          <xdr:row>129</xdr:row>
          <xdr:rowOff>165100</xdr:rowOff>
        </xdr:from>
        <xdr:to>
          <xdr:col>6</xdr:col>
          <xdr:colOff>127000</xdr:colOff>
          <xdr:row>133</xdr:row>
          <xdr:rowOff>19050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0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131</xdr:row>
          <xdr:rowOff>184150</xdr:rowOff>
        </xdr:from>
        <xdr:to>
          <xdr:col>6</xdr:col>
          <xdr:colOff>127000</xdr:colOff>
          <xdr:row>134</xdr:row>
          <xdr:rowOff>69850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0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152</xdr:row>
          <xdr:rowOff>0</xdr:rowOff>
        </xdr:from>
        <xdr:to>
          <xdr:col>6</xdr:col>
          <xdr:colOff>146050</xdr:colOff>
          <xdr:row>152</xdr:row>
          <xdr:rowOff>190500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0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152</xdr:row>
          <xdr:rowOff>0</xdr:rowOff>
        </xdr:from>
        <xdr:to>
          <xdr:col>14</xdr:col>
          <xdr:colOff>146050</xdr:colOff>
          <xdr:row>152</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0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31750</xdr:colOff>
          <xdr:row>152</xdr:row>
          <xdr:rowOff>0</xdr:rowOff>
        </xdr:from>
        <xdr:to>
          <xdr:col>22</xdr:col>
          <xdr:colOff>165100</xdr:colOff>
          <xdr:row>152</xdr:row>
          <xdr:rowOff>190500</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0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xdr:colOff>
          <xdr:row>152</xdr:row>
          <xdr:rowOff>0</xdr:rowOff>
        </xdr:from>
        <xdr:to>
          <xdr:col>29</xdr:col>
          <xdr:colOff>152400</xdr:colOff>
          <xdr:row>153</xdr:row>
          <xdr:rowOff>0</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0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153</xdr:row>
          <xdr:rowOff>0</xdr:rowOff>
        </xdr:from>
        <xdr:to>
          <xdr:col>6</xdr:col>
          <xdr:colOff>146050</xdr:colOff>
          <xdr:row>154</xdr:row>
          <xdr:rowOff>12700</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000-00000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154</xdr:row>
          <xdr:rowOff>0</xdr:rowOff>
        </xdr:from>
        <xdr:to>
          <xdr:col>6</xdr:col>
          <xdr:colOff>146050</xdr:colOff>
          <xdr:row>155</xdr:row>
          <xdr:rowOff>12700</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000-00000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159</xdr:row>
          <xdr:rowOff>69850</xdr:rowOff>
        </xdr:from>
        <xdr:to>
          <xdr:col>6</xdr:col>
          <xdr:colOff>133350</xdr:colOff>
          <xdr:row>161</xdr:row>
          <xdr:rowOff>12700</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000-00000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12700</xdr:colOff>
          <xdr:row>160</xdr:row>
          <xdr:rowOff>0</xdr:rowOff>
        </xdr:from>
        <xdr:to>
          <xdr:col>19</xdr:col>
          <xdr:colOff>146050</xdr:colOff>
          <xdr:row>161</xdr:row>
          <xdr:rowOff>19050</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000-00000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162</xdr:row>
          <xdr:rowOff>0</xdr:rowOff>
        </xdr:from>
        <xdr:to>
          <xdr:col>6</xdr:col>
          <xdr:colOff>133350</xdr:colOff>
          <xdr:row>163</xdr:row>
          <xdr:rowOff>19050</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000-00000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175</xdr:row>
          <xdr:rowOff>12700</xdr:rowOff>
        </xdr:from>
        <xdr:to>
          <xdr:col>7</xdr:col>
          <xdr:colOff>146050</xdr:colOff>
          <xdr:row>176</xdr:row>
          <xdr:rowOff>31750</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000-00000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175</xdr:row>
          <xdr:rowOff>0</xdr:rowOff>
        </xdr:from>
        <xdr:to>
          <xdr:col>12</xdr:col>
          <xdr:colOff>146050</xdr:colOff>
          <xdr:row>176</xdr:row>
          <xdr:rowOff>19050</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000-00000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175</xdr:row>
          <xdr:rowOff>0</xdr:rowOff>
        </xdr:from>
        <xdr:to>
          <xdr:col>18</xdr:col>
          <xdr:colOff>146050</xdr:colOff>
          <xdr:row>176</xdr:row>
          <xdr:rowOff>19050</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000-00000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175</xdr:row>
          <xdr:rowOff>0</xdr:rowOff>
        </xdr:from>
        <xdr:to>
          <xdr:col>23</xdr:col>
          <xdr:colOff>165100</xdr:colOff>
          <xdr:row>176</xdr:row>
          <xdr:rowOff>19050</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000-00000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31750</xdr:colOff>
          <xdr:row>175</xdr:row>
          <xdr:rowOff>12700</xdr:rowOff>
        </xdr:from>
        <xdr:to>
          <xdr:col>33</xdr:col>
          <xdr:colOff>165100</xdr:colOff>
          <xdr:row>176</xdr:row>
          <xdr:rowOff>31750</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000-00001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177</xdr:row>
          <xdr:rowOff>0</xdr:rowOff>
        </xdr:from>
        <xdr:to>
          <xdr:col>7</xdr:col>
          <xdr:colOff>146050</xdr:colOff>
          <xdr:row>178</xdr:row>
          <xdr:rowOff>19050</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000-00001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179</xdr:row>
          <xdr:rowOff>152400</xdr:rowOff>
        </xdr:from>
        <xdr:to>
          <xdr:col>7</xdr:col>
          <xdr:colOff>152400</xdr:colOff>
          <xdr:row>181</xdr:row>
          <xdr:rowOff>12700</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000-00001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12700</xdr:colOff>
          <xdr:row>180</xdr:row>
          <xdr:rowOff>0</xdr:rowOff>
        </xdr:from>
        <xdr:to>
          <xdr:col>21</xdr:col>
          <xdr:colOff>133350</xdr:colOff>
          <xdr:row>181</xdr:row>
          <xdr:rowOff>19050</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000-00001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191</xdr:row>
          <xdr:rowOff>69850</xdr:rowOff>
        </xdr:from>
        <xdr:to>
          <xdr:col>8</xdr:col>
          <xdr:colOff>276</xdr:colOff>
          <xdr:row>193</xdr:row>
          <xdr:rowOff>0</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000-00001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184</xdr:row>
          <xdr:rowOff>0</xdr:rowOff>
        </xdr:from>
        <xdr:to>
          <xdr:col>7</xdr:col>
          <xdr:colOff>152400</xdr:colOff>
          <xdr:row>185</xdr:row>
          <xdr:rowOff>19050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0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187</xdr:row>
          <xdr:rowOff>19050</xdr:rowOff>
        </xdr:from>
        <xdr:to>
          <xdr:col>7</xdr:col>
          <xdr:colOff>165100</xdr:colOff>
          <xdr:row>189</xdr:row>
          <xdr:rowOff>12700</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000-00001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194</xdr:row>
          <xdr:rowOff>12700</xdr:rowOff>
        </xdr:from>
        <xdr:to>
          <xdr:col>8</xdr:col>
          <xdr:colOff>276</xdr:colOff>
          <xdr:row>195</xdr:row>
          <xdr:rowOff>31750</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000-00001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273</xdr:row>
          <xdr:rowOff>146050</xdr:rowOff>
        </xdr:from>
        <xdr:to>
          <xdr:col>6</xdr:col>
          <xdr:colOff>114300</xdr:colOff>
          <xdr:row>275</xdr:row>
          <xdr:rowOff>19050</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0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273</xdr:row>
          <xdr:rowOff>127000</xdr:rowOff>
        </xdr:from>
        <xdr:to>
          <xdr:col>14</xdr:col>
          <xdr:colOff>133350</xdr:colOff>
          <xdr:row>274</xdr:row>
          <xdr:rowOff>184150</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0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273</xdr:row>
          <xdr:rowOff>146050</xdr:rowOff>
        </xdr:from>
        <xdr:to>
          <xdr:col>24</xdr:col>
          <xdr:colOff>146050</xdr:colOff>
          <xdr:row>275</xdr:row>
          <xdr:rowOff>19050</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000-00001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19050</xdr:colOff>
          <xdr:row>274</xdr:row>
          <xdr:rowOff>0</xdr:rowOff>
        </xdr:from>
        <xdr:to>
          <xdr:col>32</xdr:col>
          <xdr:colOff>152400</xdr:colOff>
          <xdr:row>275</xdr:row>
          <xdr:rowOff>19050</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0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276</xdr:row>
          <xdr:rowOff>12700</xdr:rowOff>
        </xdr:from>
        <xdr:to>
          <xdr:col>6</xdr:col>
          <xdr:colOff>114300</xdr:colOff>
          <xdr:row>277</xdr:row>
          <xdr:rowOff>31750</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000-00001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275</xdr:row>
          <xdr:rowOff>31750</xdr:rowOff>
        </xdr:from>
        <xdr:to>
          <xdr:col>14</xdr:col>
          <xdr:colOff>133350</xdr:colOff>
          <xdr:row>277</xdr:row>
          <xdr:rowOff>12700</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000-00001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276</xdr:row>
          <xdr:rowOff>0</xdr:rowOff>
        </xdr:from>
        <xdr:to>
          <xdr:col>24</xdr:col>
          <xdr:colOff>133350</xdr:colOff>
          <xdr:row>277</xdr:row>
          <xdr:rowOff>19050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0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278</xdr:row>
          <xdr:rowOff>0</xdr:rowOff>
        </xdr:from>
        <xdr:to>
          <xdr:col>6</xdr:col>
          <xdr:colOff>114300</xdr:colOff>
          <xdr:row>279</xdr:row>
          <xdr:rowOff>19050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0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280</xdr:row>
          <xdr:rowOff>133350</xdr:rowOff>
        </xdr:from>
        <xdr:to>
          <xdr:col>6</xdr:col>
          <xdr:colOff>114300</xdr:colOff>
          <xdr:row>282</xdr:row>
          <xdr:rowOff>0</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000-00002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12700</xdr:colOff>
          <xdr:row>280</xdr:row>
          <xdr:rowOff>146050</xdr:rowOff>
        </xdr:from>
        <xdr:to>
          <xdr:col>17</xdr:col>
          <xdr:colOff>146050</xdr:colOff>
          <xdr:row>282</xdr:row>
          <xdr:rowOff>12700</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000-00002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31750</xdr:colOff>
          <xdr:row>280</xdr:row>
          <xdr:rowOff>146050</xdr:rowOff>
        </xdr:from>
        <xdr:to>
          <xdr:col>26</xdr:col>
          <xdr:colOff>165100</xdr:colOff>
          <xdr:row>282</xdr:row>
          <xdr:rowOff>19050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0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283</xdr:row>
          <xdr:rowOff>0</xdr:rowOff>
        </xdr:from>
        <xdr:to>
          <xdr:col>6</xdr:col>
          <xdr:colOff>114300</xdr:colOff>
          <xdr:row>284</xdr:row>
          <xdr:rowOff>12700</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000-00002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286</xdr:row>
          <xdr:rowOff>0</xdr:rowOff>
        </xdr:from>
        <xdr:to>
          <xdr:col>6</xdr:col>
          <xdr:colOff>114300</xdr:colOff>
          <xdr:row>287</xdr:row>
          <xdr:rowOff>19050</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0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286</xdr:row>
          <xdr:rowOff>0</xdr:rowOff>
        </xdr:from>
        <xdr:to>
          <xdr:col>23</xdr:col>
          <xdr:colOff>165100</xdr:colOff>
          <xdr:row>287</xdr:row>
          <xdr:rowOff>19050</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0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288</xdr:row>
          <xdr:rowOff>0</xdr:rowOff>
        </xdr:from>
        <xdr:to>
          <xdr:col>6</xdr:col>
          <xdr:colOff>114300</xdr:colOff>
          <xdr:row>289</xdr:row>
          <xdr:rowOff>19050</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0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291</xdr:row>
          <xdr:rowOff>0</xdr:rowOff>
        </xdr:from>
        <xdr:to>
          <xdr:col>6</xdr:col>
          <xdr:colOff>114300</xdr:colOff>
          <xdr:row>292</xdr:row>
          <xdr:rowOff>19050</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000-00002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290</xdr:row>
          <xdr:rowOff>146050</xdr:rowOff>
        </xdr:from>
        <xdr:to>
          <xdr:col>14</xdr:col>
          <xdr:colOff>133350</xdr:colOff>
          <xdr:row>292</xdr:row>
          <xdr:rowOff>19050</xdr:rowOff>
        </xdr:to>
        <xdr:sp macro="" textlink="">
          <xdr:nvSpPr>
            <xdr:cNvPr id="17448" name="Check Box 40" hidden="1">
              <a:extLst>
                <a:ext uri="{63B3BB69-23CF-44E3-9099-C40C66FF867C}">
                  <a14:compatExt spid="_x0000_s17448"/>
                </a:ext>
                <a:ext uri="{FF2B5EF4-FFF2-40B4-BE49-F238E27FC236}">
                  <a16:creationId xmlns:a16="http://schemas.microsoft.com/office/drawing/2014/main" id="{00000000-0008-0000-0000-00002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290</xdr:row>
          <xdr:rowOff>146050</xdr:rowOff>
        </xdr:from>
        <xdr:to>
          <xdr:col>23</xdr:col>
          <xdr:colOff>165100</xdr:colOff>
          <xdr:row>292</xdr:row>
          <xdr:rowOff>19050</xdr:rowOff>
        </xdr:to>
        <xdr:sp macro="" textlink="">
          <xdr:nvSpPr>
            <xdr:cNvPr id="17449" name="Check Box 41" hidden="1">
              <a:extLst>
                <a:ext uri="{63B3BB69-23CF-44E3-9099-C40C66FF867C}">
                  <a14:compatExt spid="_x0000_s17449"/>
                </a:ext>
                <a:ext uri="{FF2B5EF4-FFF2-40B4-BE49-F238E27FC236}">
                  <a16:creationId xmlns:a16="http://schemas.microsoft.com/office/drawing/2014/main" id="{00000000-0008-0000-0000-00002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31750</xdr:colOff>
          <xdr:row>290</xdr:row>
          <xdr:rowOff>146050</xdr:rowOff>
        </xdr:from>
        <xdr:to>
          <xdr:col>29</xdr:col>
          <xdr:colOff>165100</xdr:colOff>
          <xdr:row>292</xdr:row>
          <xdr:rowOff>19050</xdr:rowOff>
        </xdr:to>
        <xdr:sp macro="" textlink="">
          <xdr:nvSpPr>
            <xdr:cNvPr id="17450" name="Check Box 42" hidden="1">
              <a:extLst>
                <a:ext uri="{63B3BB69-23CF-44E3-9099-C40C66FF867C}">
                  <a14:compatExt spid="_x0000_s17450"/>
                </a:ext>
                <a:ext uri="{FF2B5EF4-FFF2-40B4-BE49-F238E27FC236}">
                  <a16:creationId xmlns:a16="http://schemas.microsoft.com/office/drawing/2014/main" id="{00000000-0008-0000-0000-00002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293</xdr:row>
          <xdr:rowOff>0</xdr:rowOff>
        </xdr:from>
        <xdr:to>
          <xdr:col>6</xdr:col>
          <xdr:colOff>114300</xdr:colOff>
          <xdr:row>294</xdr:row>
          <xdr:rowOff>19050</xdr:rowOff>
        </xdr:to>
        <xdr:sp macro="" textlink="">
          <xdr:nvSpPr>
            <xdr:cNvPr id="17451" name="Check Box 43" hidden="1">
              <a:extLst>
                <a:ext uri="{63B3BB69-23CF-44E3-9099-C40C66FF867C}">
                  <a14:compatExt spid="_x0000_s17451"/>
                </a:ext>
                <a:ext uri="{FF2B5EF4-FFF2-40B4-BE49-F238E27FC236}">
                  <a16:creationId xmlns:a16="http://schemas.microsoft.com/office/drawing/2014/main" id="{00000000-0008-0000-0000-00002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296</xdr:row>
          <xdr:rowOff>12700</xdr:rowOff>
        </xdr:from>
        <xdr:to>
          <xdr:col>6</xdr:col>
          <xdr:colOff>114300</xdr:colOff>
          <xdr:row>297</xdr:row>
          <xdr:rowOff>31750</xdr:rowOff>
        </xdr:to>
        <xdr:sp macro="" textlink="">
          <xdr:nvSpPr>
            <xdr:cNvPr id="17452" name="Check Box 44" hidden="1">
              <a:extLst>
                <a:ext uri="{63B3BB69-23CF-44E3-9099-C40C66FF867C}">
                  <a14:compatExt spid="_x0000_s17452"/>
                </a:ext>
                <a:ext uri="{FF2B5EF4-FFF2-40B4-BE49-F238E27FC236}">
                  <a16:creationId xmlns:a16="http://schemas.microsoft.com/office/drawing/2014/main" id="{00000000-0008-0000-0000-00002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296</xdr:row>
          <xdr:rowOff>0</xdr:rowOff>
        </xdr:from>
        <xdr:to>
          <xdr:col>23</xdr:col>
          <xdr:colOff>165100</xdr:colOff>
          <xdr:row>297</xdr:row>
          <xdr:rowOff>19050</xdr:rowOff>
        </xdr:to>
        <xdr:sp macro="" textlink="">
          <xdr:nvSpPr>
            <xdr:cNvPr id="17453" name="Check Box 45" hidden="1">
              <a:extLst>
                <a:ext uri="{63B3BB69-23CF-44E3-9099-C40C66FF867C}">
                  <a14:compatExt spid="_x0000_s17453"/>
                </a:ext>
                <a:ext uri="{FF2B5EF4-FFF2-40B4-BE49-F238E27FC236}">
                  <a16:creationId xmlns:a16="http://schemas.microsoft.com/office/drawing/2014/main" id="{00000000-0008-0000-0000-00002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298</xdr:row>
          <xdr:rowOff>0</xdr:rowOff>
        </xdr:from>
        <xdr:to>
          <xdr:col>6</xdr:col>
          <xdr:colOff>114300</xdr:colOff>
          <xdr:row>299</xdr:row>
          <xdr:rowOff>19050</xdr:rowOff>
        </xdr:to>
        <xdr:sp macro="" textlink="">
          <xdr:nvSpPr>
            <xdr:cNvPr id="17454" name="Check Box 46" hidden="1">
              <a:extLst>
                <a:ext uri="{63B3BB69-23CF-44E3-9099-C40C66FF867C}">
                  <a14:compatExt spid="_x0000_s17454"/>
                </a:ext>
                <a:ext uri="{FF2B5EF4-FFF2-40B4-BE49-F238E27FC236}">
                  <a16:creationId xmlns:a16="http://schemas.microsoft.com/office/drawing/2014/main" id="{00000000-0008-0000-0000-00002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301</xdr:row>
          <xdr:rowOff>12700</xdr:rowOff>
        </xdr:from>
        <xdr:to>
          <xdr:col>6</xdr:col>
          <xdr:colOff>114300</xdr:colOff>
          <xdr:row>302</xdr:row>
          <xdr:rowOff>31750</xdr:rowOff>
        </xdr:to>
        <xdr:sp macro="" textlink="">
          <xdr:nvSpPr>
            <xdr:cNvPr id="17455" name="Check Box 47" hidden="1">
              <a:extLst>
                <a:ext uri="{63B3BB69-23CF-44E3-9099-C40C66FF867C}">
                  <a14:compatExt spid="_x0000_s17455"/>
                </a:ext>
                <a:ext uri="{FF2B5EF4-FFF2-40B4-BE49-F238E27FC236}">
                  <a16:creationId xmlns:a16="http://schemas.microsoft.com/office/drawing/2014/main" id="{00000000-0008-0000-0000-00002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301</xdr:row>
          <xdr:rowOff>12700</xdr:rowOff>
        </xdr:from>
        <xdr:to>
          <xdr:col>14</xdr:col>
          <xdr:colOff>133350</xdr:colOff>
          <xdr:row>302</xdr:row>
          <xdr:rowOff>31750</xdr:rowOff>
        </xdr:to>
        <xdr:sp macro="" textlink="">
          <xdr:nvSpPr>
            <xdr:cNvPr id="17456" name="Check Box 48" hidden="1">
              <a:extLst>
                <a:ext uri="{63B3BB69-23CF-44E3-9099-C40C66FF867C}">
                  <a14:compatExt spid="_x0000_s17456"/>
                </a:ext>
                <a:ext uri="{FF2B5EF4-FFF2-40B4-BE49-F238E27FC236}">
                  <a16:creationId xmlns:a16="http://schemas.microsoft.com/office/drawing/2014/main" id="{00000000-0008-0000-0000-00003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19050</xdr:colOff>
          <xdr:row>301</xdr:row>
          <xdr:rowOff>0</xdr:rowOff>
        </xdr:from>
        <xdr:to>
          <xdr:col>23</xdr:col>
          <xdr:colOff>152400</xdr:colOff>
          <xdr:row>302</xdr:row>
          <xdr:rowOff>19050</xdr:rowOff>
        </xdr:to>
        <xdr:sp macro="" textlink="">
          <xdr:nvSpPr>
            <xdr:cNvPr id="17457" name="Check Box 49" hidden="1">
              <a:extLst>
                <a:ext uri="{63B3BB69-23CF-44E3-9099-C40C66FF867C}">
                  <a14:compatExt spid="_x0000_s17457"/>
                </a:ext>
                <a:ext uri="{FF2B5EF4-FFF2-40B4-BE49-F238E27FC236}">
                  <a16:creationId xmlns:a16="http://schemas.microsoft.com/office/drawing/2014/main" id="{00000000-0008-0000-0000-00003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xdr:colOff>
          <xdr:row>301</xdr:row>
          <xdr:rowOff>0</xdr:rowOff>
        </xdr:from>
        <xdr:to>
          <xdr:col>29</xdr:col>
          <xdr:colOff>165100</xdr:colOff>
          <xdr:row>302</xdr:row>
          <xdr:rowOff>19050</xdr:rowOff>
        </xdr:to>
        <xdr:sp macro="" textlink="">
          <xdr:nvSpPr>
            <xdr:cNvPr id="17458" name="Check Box 50" hidden="1">
              <a:extLst>
                <a:ext uri="{63B3BB69-23CF-44E3-9099-C40C66FF867C}">
                  <a14:compatExt spid="_x0000_s17458"/>
                </a:ext>
                <a:ext uri="{FF2B5EF4-FFF2-40B4-BE49-F238E27FC236}">
                  <a16:creationId xmlns:a16="http://schemas.microsoft.com/office/drawing/2014/main" id="{00000000-0008-0000-0000-00003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303</xdr:row>
          <xdr:rowOff>12700</xdr:rowOff>
        </xdr:from>
        <xdr:to>
          <xdr:col>6</xdr:col>
          <xdr:colOff>114300</xdr:colOff>
          <xdr:row>304</xdr:row>
          <xdr:rowOff>31750</xdr:rowOff>
        </xdr:to>
        <xdr:sp macro="" textlink="">
          <xdr:nvSpPr>
            <xdr:cNvPr id="17459" name="Check Box 51" hidden="1">
              <a:extLst>
                <a:ext uri="{63B3BB69-23CF-44E3-9099-C40C66FF867C}">
                  <a14:compatExt spid="_x0000_s17459"/>
                </a:ext>
                <a:ext uri="{FF2B5EF4-FFF2-40B4-BE49-F238E27FC236}">
                  <a16:creationId xmlns:a16="http://schemas.microsoft.com/office/drawing/2014/main" id="{00000000-0008-0000-0000-00003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305</xdr:row>
          <xdr:rowOff>133350</xdr:rowOff>
        </xdr:from>
        <xdr:to>
          <xdr:col>6</xdr:col>
          <xdr:colOff>114300</xdr:colOff>
          <xdr:row>307</xdr:row>
          <xdr:rowOff>0</xdr:rowOff>
        </xdr:to>
        <xdr:sp macro="" textlink="">
          <xdr:nvSpPr>
            <xdr:cNvPr id="17460" name="Check Box 52" hidden="1">
              <a:extLst>
                <a:ext uri="{63B3BB69-23CF-44E3-9099-C40C66FF867C}">
                  <a14:compatExt spid="_x0000_s17460"/>
                </a:ext>
                <a:ext uri="{FF2B5EF4-FFF2-40B4-BE49-F238E27FC236}">
                  <a16:creationId xmlns:a16="http://schemas.microsoft.com/office/drawing/2014/main" id="{00000000-0008-0000-0000-00003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305</xdr:row>
          <xdr:rowOff>146050</xdr:rowOff>
        </xdr:from>
        <xdr:to>
          <xdr:col>14</xdr:col>
          <xdr:colOff>133350</xdr:colOff>
          <xdr:row>307</xdr:row>
          <xdr:rowOff>19050</xdr:rowOff>
        </xdr:to>
        <xdr:sp macro="" textlink="">
          <xdr:nvSpPr>
            <xdr:cNvPr id="17461" name="Check Box 53" hidden="1">
              <a:extLst>
                <a:ext uri="{63B3BB69-23CF-44E3-9099-C40C66FF867C}">
                  <a14:compatExt spid="_x0000_s17461"/>
                </a:ext>
                <a:ext uri="{FF2B5EF4-FFF2-40B4-BE49-F238E27FC236}">
                  <a16:creationId xmlns:a16="http://schemas.microsoft.com/office/drawing/2014/main" id="{00000000-0008-0000-0000-00003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31750</xdr:colOff>
          <xdr:row>305</xdr:row>
          <xdr:rowOff>146050</xdr:rowOff>
        </xdr:from>
        <xdr:to>
          <xdr:col>23</xdr:col>
          <xdr:colOff>165100</xdr:colOff>
          <xdr:row>307</xdr:row>
          <xdr:rowOff>19050</xdr:rowOff>
        </xdr:to>
        <xdr:sp macro="" textlink="">
          <xdr:nvSpPr>
            <xdr:cNvPr id="17462" name="Check Box 54" hidden="1">
              <a:extLst>
                <a:ext uri="{63B3BB69-23CF-44E3-9099-C40C66FF867C}">
                  <a14:compatExt spid="_x0000_s17462"/>
                </a:ext>
                <a:ext uri="{FF2B5EF4-FFF2-40B4-BE49-F238E27FC236}">
                  <a16:creationId xmlns:a16="http://schemas.microsoft.com/office/drawing/2014/main" id="{00000000-0008-0000-0000-00003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308</xdr:row>
          <xdr:rowOff>12700</xdr:rowOff>
        </xdr:from>
        <xdr:to>
          <xdr:col>6</xdr:col>
          <xdr:colOff>114300</xdr:colOff>
          <xdr:row>309</xdr:row>
          <xdr:rowOff>31750</xdr:rowOff>
        </xdr:to>
        <xdr:sp macro="" textlink="">
          <xdr:nvSpPr>
            <xdr:cNvPr id="17463" name="Check Box 55" hidden="1">
              <a:extLst>
                <a:ext uri="{63B3BB69-23CF-44E3-9099-C40C66FF867C}">
                  <a14:compatExt spid="_x0000_s17463"/>
                </a:ext>
                <a:ext uri="{FF2B5EF4-FFF2-40B4-BE49-F238E27FC236}">
                  <a16:creationId xmlns:a16="http://schemas.microsoft.com/office/drawing/2014/main" id="{00000000-0008-0000-0000-00003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309</xdr:row>
          <xdr:rowOff>146050</xdr:rowOff>
        </xdr:from>
        <xdr:to>
          <xdr:col>6</xdr:col>
          <xdr:colOff>114300</xdr:colOff>
          <xdr:row>311</xdr:row>
          <xdr:rowOff>12700</xdr:rowOff>
        </xdr:to>
        <xdr:sp macro="" textlink="">
          <xdr:nvSpPr>
            <xdr:cNvPr id="17464" name="Check Box 56" hidden="1">
              <a:extLst>
                <a:ext uri="{63B3BB69-23CF-44E3-9099-C40C66FF867C}">
                  <a14:compatExt spid="_x0000_s17464"/>
                </a:ext>
                <a:ext uri="{FF2B5EF4-FFF2-40B4-BE49-F238E27FC236}">
                  <a16:creationId xmlns:a16="http://schemas.microsoft.com/office/drawing/2014/main" id="{00000000-0008-0000-0000-00003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312</xdr:row>
          <xdr:rowOff>0</xdr:rowOff>
        </xdr:from>
        <xdr:to>
          <xdr:col>6</xdr:col>
          <xdr:colOff>114300</xdr:colOff>
          <xdr:row>313</xdr:row>
          <xdr:rowOff>19050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0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314</xdr:row>
          <xdr:rowOff>0</xdr:rowOff>
        </xdr:from>
        <xdr:to>
          <xdr:col>6</xdr:col>
          <xdr:colOff>114300</xdr:colOff>
          <xdr:row>315</xdr:row>
          <xdr:rowOff>19050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0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171450</xdr:colOff>
          <xdr:row>165</xdr:row>
          <xdr:rowOff>31750</xdr:rowOff>
        </xdr:from>
        <xdr:to>
          <xdr:col>6</xdr:col>
          <xdr:colOff>127000</xdr:colOff>
          <xdr:row>167</xdr:row>
          <xdr:rowOff>12700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0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12700</xdr:colOff>
          <xdr:row>165</xdr:row>
          <xdr:rowOff>31750</xdr:rowOff>
        </xdr:from>
        <xdr:to>
          <xdr:col>15</xdr:col>
          <xdr:colOff>133350</xdr:colOff>
          <xdr:row>167</xdr:row>
          <xdr:rowOff>12700</xdr:rowOff>
        </xdr:to>
        <xdr:sp macro="" textlink="">
          <xdr:nvSpPr>
            <xdr:cNvPr id="17468" name="Check Box 60" hidden="1">
              <a:extLst>
                <a:ext uri="{63B3BB69-23CF-44E3-9099-C40C66FF867C}">
                  <a14:compatExt spid="_x0000_s17468"/>
                </a:ext>
                <a:ext uri="{FF2B5EF4-FFF2-40B4-BE49-F238E27FC236}">
                  <a16:creationId xmlns:a16="http://schemas.microsoft.com/office/drawing/2014/main" id="{00000000-0008-0000-0000-00003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165</xdr:row>
          <xdr:rowOff>31750</xdr:rowOff>
        </xdr:from>
        <xdr:to>
          <xdr:col>24</xdr:col>
          <xdr:colOff>146050</xdr:colOff>
          <xdr:row>167</xdr:row>
          <xdr:rowOff>12700</xdr:rowOff>
        </xdr:to>
        <xdr:sp macro="" textlink="">
          <xdr:nvSpPr>
            <xdr:cNvPr id="17469" name="Check Box 61" hidden="1">
              <a:extLst>
                <a:ext uri="{63B3BB69-23CF-44E3-9099-C40C66FF867C}">
                  <a14:compatExt spid="_x0000_s17469"/>
                </a:ext>
                <a:ext uri="{FF2B5EF4-FFF2-40B4-BE49-F238E27FC236}">
                  <a16:creationId xmlns:a16="http://schemas.microsoft.com/office/drawing/2014/main" id="{00000000-0008-0000-0000-00003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31750</xdr:colOff>
          <xdr:row>186</xdr:row>
          <xdr:rowOff>0</xdr:rowOff>
        </xdr:from>
        <xdr:to>
          <xdr:col>7</xdr:col>
          <xdr:colOff>165100</xdr:colOff>
          <xdr:row>187</xdr:row>
          <xdr:rowOff>19050</xdr:rowOff>
        </xdr:to>
        <xdr:sp macro="" textlink="">
          <xdr:nvSpPr>
            <xdr:cNvPr id="17470" name="Check Box 62" hidden="1">
              <a:extLst>
                <a:ext uri="{63B3BB69-23CF-44E3-9099-C40C66FF867C}">
                  <a14:compatExt spid="_x0000_s17470"/>
                </a:ext>
                <a:ext uri="{FF2B5EF4-FFF2-40B4-BE49-F238E27FC236}">
                  <a16:creationId xmlns:a16="http://schemas.microsoft.com/office/drawing/2014/main" id="{00000000-0008-0000-0000-00003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152</xdr:row>
          <xdr:rowOff>184150</xdr:rowOff>
        </xdr:from>
        <xdr:to>
          <xdr:col>14</xdr:col>
          <xdr:colOff>146050</xdr:colOff>
          <xdr:row>153</xdr:row>
          <xdr:rowOff>190500</xdr:rowOff>
        </xdr:to>
        <xdr:sp macro="" textlink="">
          <xdr:nvSpPr>
            <xdr:cNvPr id="17471" name="Check Box 63" hidden="1">
              <a:extLst>
                <a:ext uri="{63B3BB69-23CF-44E3-9099-C40C66FF867C}">
                  <a14:compatExt spid="_x0000_s17471"/>
                </a:ext>
                <a:ext uri="{FF2B5EF4-FFF2-40B4-BE49-F238E27FC236}">
                  <a16:creationId xmlns:a16="http://schemas.microsoft.com/office/drawing/2014/main" id="{00000000-0008-0000-0000-00003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xdr:colOff>
          <xdr:row>152</xdr:row>
          <xdr:rowOff>190500</xdr:rowOff>
        </xdr:from>
        <xdr:to>
          <xdr:col>29</xdr:col>
          <xdr:colOff>152400</xdr:colOff>
          <xdr:row>154</xdr:row>
          <xdr:rowOff>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0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xdr:colOff>
          <xdr:row>153</xdr:row>
          <xdr:rowOff>190500</xdr:rowOff>
        </xdr:from>
        <xdr:to>
          <xdr:col>14</xdr:col>
          <xdr:colOff>146050</xdr:colOff>
          <xdr:row>155</xdr:row>
          <xdr:rowOff>0</xdr:rowOff>
        </xdr:to>
        <xdr:sp macro="" textlink="">
          <xdr:nvSpPr>
            <xdr:cNvPr id="17473" name="Check Box 65" hidden="1">
              <a:extLst>
                <a:ext uri="{63B3BB69-23CF-44E3-9099-C40C66FF867C}">
                  <a14:compatExt spid="_x0000_s17473"/>
                </a:ext>
                <a:ext uri="{FF2B5EF4-FFF2-40B4-BE49-F238E27FC236}">
                  <a16:creationId xmlns:a16="http://schemas.microsoft.com/office/drawing/2014/main" id="{00000000-0008-0000-0000-00004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207</xdr:row>
          <xdr:rowOff>0</xdr:rowOff>
        </xdr:from>
        <xdr:to>
          <xdr:col>6</xdr:col>
          <xdr:colOff>133350</xdr:colOff>
          <xdr:row>208</xdr:row>
          <xdr:rowOff>12700</xdr:rowOff>
        </xdr:to>
        <xdr:sp macro="" textlink="">
          <xdr:nvSpPr>
            <xdr:cNvPr id="17474" name="Check Box 66" hidden="1">
              <a:extLst>
                <a:ext uri="{63B3BB69-23CF-44E3-9099-C40C66FF867C}">
                  <a14:compatExt spid="_x0000_s17474"/>
                </a:ext>
                <a:ext uri="{FF2B5EF4-FFF2-40B4-BE49-F238E27FC236}">
                  <a16:creationId xmlns:a16="http://schemas.microsoft.com/office/drawing/2014/main" id="{00000000-0008-0000-0000-00004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208</xdr:row>
          <xdr:rowOff>12700</xdr:rowOff>
        </xdr:from>
        <xdr:to>
          <xdr:col>6</xdr:col>
          <xdr:colOff>133350</xdr:colOff>
          <xdr:row>209</xdr:row>
          <xdr:rowOff>31750</xdr:rowOff>
        </xdr:to>
        <xdr:sp macro="" textlink="">
          <xdr:nvSpPr>
            <xdr:cNvPr id="17475" name="Check Box 67" hidden="1">
              <a:extLst>
                <a:ext uri="{63B3BB69-23CF-44E3-9099-C40C66FF867C}">
                  <a14:compatExt spid="_x0000_s17475"/>
                </a:ext>
                <a:ext uri="{FF2B5EF4-FFF2-40B4-BE49-F238E27FC236}">
                  <a16:creationId xmlns:a16="http://schemas.microsoft.com/office/drawing/2014/main" id="{00000000-0008-0000-0000-00004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31750</xdr:colOff>
          <xdr:row>207</xdr:row>
          <xdr:rowOff>0</xdr:rowOff>
        </xdr:from>
        <xdr:to>
          <xdr:col>25</xdr:col>
          <xdr:colOff>152400</xdr:colOff>
          <xdr:row>208</xdr:row>
          <xdr:rowOff>12700</xdr:rowOff>
        </xdr:to>
        <xdr:sp macro="" textlink="">
          <xdr:nvSpPr>
            <xdr:cNvPr id="17476" name="Check Box 68" hidden="1">
              <a:extLst>
                <a:ext uri="{63B3BB69-23CF-44E3-9099-C40C66FF867C}">
                  <a14:compatExt spid="_x0000_s17476"/>
                </a:ext>
                <a:ext uri="{FF2B5EF4-FFF2-40B4-BE49-F238E27FC236}">
                  <a16:creationId xmlns:a16="http://schemas.microsoft.com/office/drawing/2014/main" id="{00000000-0008-0000-0000-00004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208</xdr:row>
          <xdr:rowOff>0</xdr:rowOff>
        </xdr:from>
        <xdr:to>
          <xdr:col>25</xdr:col>
          <xdr:colOff>146050</xdr:colOff>
          <xdr:row>209</xdr:row>
          <xdr:rowOff>19050</xdr:rowOff>
        </xdr:to>
        <xdr:sp macro="" textlink="">
          <xdr:nvSpPr>
            <xdr:cNvPr id="17477" name="Check Box 69" hidden="1">
              <a:extLst>
                <a:ext uri="{63B3BB69-23CF-44E3-9099-C40C66FF867C}">
                  <a14:compatExt spid="_x0000_s17477"/>
                </a:ext>
                <a:ext uri="{FF2B5EF4-FFF2-40B4-BE49-F238E27FC236}">
                  <a16:creationId xmlns:a16="http://schemas.microsoft.com/office/drawing/2014/main" id="{00000000-0008-0000-0000-00004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207</xdr:row>
          <xdr:rowOff>0</xdr:rowOff>
        </xdr:from>
        <xdr:to>
          <xdr:col>18</xdr:col>
          <xdr:colOff>146050</xdr:colOff>
          <xdr:row>208</xdr:row>
          <xdr:rowOff>12700</xdr:rowOff>
        </xdr:to>
        <xdr:sp macro="" textlink="">
          <xdr:nvSpPr>
            <xdr:cNvPr id="17478" name="Check Box 70" hidden="1">
              <a:extLst>
                <a:ext uri="{63B3BB69-23CF-44E3-9099-C40C66FF867C}">
                  <a14:compatExt spid="_x0000_s17478"/>
                </a:ext>
                <a:ext uri="{FF2B5EF4-FFF2-40B4-BE49-F238E27FC236}">
                  <a16:creationId xmlns:a16="http://schemas.microsoft.com/office/drawing/2014/main" id="{00000000-0008-0000-0000-00004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221</xdr:row>
          <xdr:rowOff>12700</xdr:rowOff>
        </xdr:from>
        <xdr:to>
          <xdr:col>6</xdr:col>
          <xdr:colOff>133350</xdr:colOff>
          <xdr:row>222</xdr:row>
          <xdr:rowOff>31750</xdr:rowOff>
        </xdr:to>
        <xdr:sp macro="" textlink="">
          <xdr:nvSpPr>
            <xdr:cNvPr id="17479" name="Check Box 71" hidden="1">
              <a:extLst>
                <a:ext uri="{63B3BB69-23CF-44E3-9099-C40C66FF867C}">
                  <a14:compatExt spid="_x0000_s17479"/>
                </a:ext>
                <a:ext uri="{FF2B5EF4-FFF2-40B4-BE49-F238E27FC236}">
                  <a16:creationId xmlns:a16="http://schemas.microsoft.com/office/drawing/2014/main" id="{00000000-0008-0000-0000-00004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222</xdr:row>
          <xdr:rowOff>19050</xdr:rowOff>
        </xdr:from>
        <xdr:to>
          <xdr:col>6</xdr:col>
          <xdr:colOff>133350</xdr:colOff>
          <xdr:row>223</xdr:row>
          <xdr:rowOff>38100</xdr:rowOff>
        </xdr:to>
        <xdr:sp macro="" textlink="">
          <xdr:nvSpPr>
            <xdr:cNvPr id="17480" name="Check Box 72" hidden="1">
              <a:extLst>
                <a:ext uri="{63B3BB69-23CF-44E3-9099-C40C66FF867C}">
                  <a14:compatExt spid="_x0000_s17480"/>
                </a:ext>
                <a:ext uri="{FF2B5EF4-FFF2-40B4-BE49-F238E27FC236}">
                  <a16:creationId xmlns:a16="http://schemas.microsoft.com/office/drawing/2014/main" id="{00000000-0008-0000-0000-00004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223</xdr:row>
          <xdr:rowOff>19050</xdr:rowOff>
        </xdr:from>
        <xdr:to>
          <xdr:col>6</xdr:col>
          <xdr:colOff>133350</xdr:colOff>
          <xdr:row>224</xdr:row>
          <xdr:rowOff>38100</xdr:rowOff>
        </xdr:to>
        <xdr:sp macro="" textlink="">
          <xdr:nvSpPr>
            <xdr:cNvPr id="17481" name="Check Box 73" hidden="1">
              <a:extLst>
                <a:ext uri="{63B3BB69-23CF-44E3-9099-C40C66FF867C}">
                  <a14:compatExt spid="_x0000_s17481"/>
                </a:ext>
                <a:ext uri="{FF2B5EF4-FFF2-40B4-BE49-F238E27FC236}">
                  <a16:creationId xmlns:a16="http://schemas.microsoft.com/office/drawing/2014/main" id="{00000000-0008-0000-0000-00004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224</xdr:row>
          <xdr:rowOff>19050</xdr:rowOff>
        </xdr:from>
        <xdr:to>
          <xdr:col>6</xdr:col>
          <xdr:colOff>133350</xdr:colOff>
          <xdr:row>225</xdr:row>
          <xdr:rowOff>38100</xdr:rowOff>
        </xdr:to>
        <xdr:sp macro="" textlink="">
          <xdr:nvSpPr>
            <xdr:cNvPr id="17482" name="Check Box 74" hidden="1">
              <a:extLst>
                <a:ext uri="{63B3BB69-23CF-44E3-9099-C40C66FF867C}">
                  <a14:compatExt spid="_x0000_s17482"/>
                </a:ext>
                <a:ext uri="{FF2B5EF4-FFF2-40B4-BE49-F238E27FC236}">
                  <a16:creationId xmlns:a16="http://schemas.microsoft.com/office/drawing/2014/main" id="{00000000-0008-0000-0000-00004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225</xdr:row>
          <xdr:rowOff>19050</xdr:rowOff>
        </xdr:from>
        <xdr:to>
          <xdr:col>6</xdr:col>
          <xdr:colOff>133350</xdr:colOff>
          <xdr:row>226</xdr:row>
          <xdr:rowOff>38100</xdr:rowOff>
        </xdr:to>
        <xdr:sp macro="" textlink="">
          <xdr:nvSpPr>
            <xdr:cNvPr id="17483" name="Check Box 75" hidden="1">
              <a:extLst>
                <a:ext uri="{63B3BB69-23CF-44E3-9099-C40C66FF867C}">
                  <a14:compatExt spid="_x0000_s17483"/>
                </a:ext>
                <a:ext uri="{FF2B5EF4-FFF2-40B4-BE49-F238E27FC236}">
                  <a16:creationId xmlns:a16="http://schemas.microsoft.com/office/drawing/2014/main" id="{00000000-0008-0000-0000-00004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226</xdr:row>
          <xdr:rowOff>19050</xdr:rowOff>
        </xdr:from>
        <xdr:to>
          <xdr:col>6</xdr:col>
          <xdr:colOff>133350</xdr:colOff>
          <xdr:row>227</xdr:row>
          <xdr:rowOff>38100</xdr:rowOff>
        </xdr:to>
        <xdr:sp macro="" textlink="">
          <xdr:nvSpPr>
            <xdr:cNvPr id="17484" name="Check Box 76" hidden="1">
              <a:extLst>
                <a:ext uri="{63B3BB69-23CF-44E3-9099-C40C66FF867C}">
                  <a14:compatExt spid="_x0000_s17484"/>
                </a:ext>
                <a:ext uri="{FF2B5EF4-FFF2-40B4-BE49-F238E27FC236}">
                  <a16:creationId xmlns:a16="http://schemas.microsoft.com/office/drawing/2014/main" id="{00000000-0008-0000-0000-00004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227</xdr:row>
          <xdr:rowOff>19050</xdr:rowOff>
        </xdr:from>
        <xdr:to>
          <xdr:col>6</xdr:col>
          <xdr:colOff>133350</xdr:colOff>
          <xdr:row>228</xdr:row>
          <xdr:rowOff>38100</xdr:rowOff>
        </xdr:to>
        <xdr:sp macro="" textlink="">
          <xdr:nvSpPr>
            <xdr:cNvPr id="17485" name="Check Box 77" hidden="1">
              <a:extLst>
                <a:ext uri="{63B3BB69-23CF-44E3-9099-C40C66FF867C}">
                  <a14:compatExt spid="_x0000_s17485"/>
                </a:ext>
                <a:ext uri="{FF2B5EF4-FFF2-40B4-BE49-F238E27FC236}">
                  <a16:creationId xmlns:a16="http://schemas.microsoft.com/office/drawing/2014/main" id="{00000000-0008-0000-0000-00004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228</xdr:row>
          <xdr:rowOff>12700</xdr:rowOff>
        </xdr:from>
        <xdr:to>
          <xdr:col>6</xdr:col>
          <xdr:colOff>133350</xdr:colOff>
          <xdr:row>229</xdr:row>
          <xdr:rowOff>31750</xdr:rowOff>
        </xdr:to>
        <xdr:sp macro="" textlink="">
          <xdr:nvSpPr>
            <xdr:cNvPr id="17486" name="Check Box 78" hidden="1">
              <a:extLst>
                <a:ext uri="{63B3BB69-23CF-44E3-9099-C40C66FF867C}">
                  <a14:compatExt spid="_x0000_s17486"/>
                </a:ext>
                <a:ext uri="{FF2B5EF4-FFF2-40B4-BE49-F238E27FC236}">
                  <a16:creationId xmlns:a16="http://schemas.microsoft.com/office/drawing/2014/main" id="{00000000-0008-0000-0000-00004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229</xdr:row>
          <xdr:rowOff>12700</xdr:rowOff>
        </xdr:from>
        <xdr:to>
          <xdr:col>6</xdr:col>
          <xdr:colOff>133350</xdr:colOff>
          <xdr:row>230</xdr:row>
          <xdr:rowOff>31750</xdr:rowOff>
        </xdr:to>
        <xdr:sp macro="" textlink="">
          <xdr:nvSpPr>
            <xdr:cNvPr id="17487" name="Check Box 79" hidden="1">
              <a:extLst>
                <a:ext uri="{63B3BB69-23CF-44E3-9099-C40C66FF867C}">
                  <a14:compatExt spid="_x0000_s17487"/>
                </a:ext>
                <a:ext uri="{FF2B5EF4-FFF2-40B4-BE49-F238E27FC236}">
                  <a16:creationId xmlns:a16="http://schemas.microsoft.com/office/drawing/2014/main" id="{00000000-0008-0000-0000-00004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319</xdr:row>
          <xdr:rowOff>57150</xdr:rowOff>
        </xdr:from>
        <xdr:to>
          <xdr:col>6</xdr:col>
          <xdr:colOff>114300</xdr:colOff>
          <xdr:row>320</xdr:row>
          <xdr:rowOff>193260</xdr:rowOff>
        </xdr:to>
        <xdr:sp macro="" textlink="">
          <xdr:nvSpPr>
            <xdr:cNvPr id="17488" name="Check Box 80" hidden="1">
              <a:extLst>
                <a:ext uri="{63B3BB69-23CF-44E3-9099-C40C66FF867C}">
                  <a14:compatExt spid="_x0000_s17488"/>
                </a:ext>
                <a:ext uri="{FF2B5EF4-FFF2-40B4-BE49-F238E27FC236}">
                  <a16:creationId xmlns:a16="http://schemas.microsoft.com/office/drawing/2014/main" id="{00000000-0008-0000-0000-00005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165100</xdr:colOff>
          <xdr:row>322</xdr:row>
          <xdr:rowOff>12700</xdr:rowOff>
        </xdr:from>
        <xdr:to>
          <xdr:col>6</xdr:col>
          <xdr:colOff>114300</xdr:colOff>
          <xdr:row>323</xdr:row>
          <xdr:rowOff>31750</xdr:rowOff>
        </xdr:to>
        <xdr:sp macro="" textlink="">
          <xdr:nvSpPr>
            <xdr:cNvPr id="17489" name="Check Box 81" hidden="1">
              <a:extLst>
                <a:ext uri="{63B3BB69-23CF-44E3-9099-C40C66FF867C}">
                  <a14:compatExt spid="_x0000_s17489"/>
                </a:ext>
                <a:ext uri="{FF2B5EF4-FFF2-40B4-BE49-F238E27FC236}">
                  <a16:creationId xmlns:a16="http://schemas.microsoft.com/office/drawing/2014/main" id="{00000000-0008-0000-0000-00005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12700</xdr:colOff>
          <xdr:row>320</xdr:row>
          <xdr:rowOff>0</xdr:rowOff>
        </xdr:from>
        <xdr:to>
          <xdr:col>18</xdr:col>
          <xdr:colOff>133350</xdr:colOff>
          <xdr:row>321</xdr:row>
          <xdr:rowOff>19050</xdr:rowOff>
        </xdr:to>
        <xdr:sp macro="" textlink="">
          <xdr:nvSpPr>
            <xdr:cNvPr id="17490" name="Check Box 82" hidden="1">
              <a:extLst>
                <a:ext uri="{63B3BB69-23CF-44E3-9099-C40C66FF867C}">
                  <a14:compatExt spid="_x0000_s17490"/>
                </a:ext>
                <a:ext uri="{FF2B5EF4-FFF2-40B4-BE49-F238E27FC236}">
                  <a16:creationId xmlns:a16="http://schemas.microsoft.com/office/drawing/2014/main" id="{00000000-0008-0000-0000-00005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12700</xdr:colOff>
          <xdr:row>321</xdr:row>
          <xdr:rowOff>31750</xdr:rowOff>
        </xdr:from>
        <xdr:to>
          <xdr:col>18</xdr:col>
          <xdr:colOff>133350</xdr:colOff>
          <xdr:row>323</xdr:row>
          <xdr:rowOff>12700</xdr:rowOff>
        </xdr:to>
        <xdr:sp macro="" textlink="">
          <xdr:nvSpPr>
            <xdr:cNvPr id="17491" name="Check Box 83" hidden="1">
              <a:extLst>
                <a:ext uri="{63B3BB69-23CF-44E3-9099-C40C66FF867C}">
                  <a14:compatExt spid="_x0000_s17491"/>
                </a:ext>
                <a:ext uri="{FF2B5EF4-FFF2-40B4-BE49-F238E27FC236}">
                  <a16:creationId xmlns:a16="http://schemas.microsoft.com/office/drawing/2014/main" id="{00000000-0008-0000-0000-00005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12700</xdr:colOff>
          <xdr:row>320</xdr:row>
          <xdr:rowOff>0</xdr:rowOff>
        </xdr:from>
        <xdr:to>
          <xdr:col>18</xdr:col>
          <xdr:colOff>133350</xdr:colOff>
          <xdr:row>321</xdr:row>
          <xdr:rowOff>19050</xdr:rowOff>
        </xdr:to>
        <xdr:sp macro="" textlink="">
          <xdr:nvSpPr>
            <xdr:cNvPr id="17492" name="Check Box 84" hidden="1">
              <a:extLst>
                <a:ext uri="{63B3BB69-23CF-44E3-9099-C40C66FF867C}">
                  <a14:compatExt spid="_x0000_s17492"/>
                </a:ext>
                <a:ext uri="{FF2B5EF4-FFF2-40B4-BE49-F238E27FC236}">
                  <a16:creationId xmlns:a16="http://schemas.microsoft.com/office/drawing/2014/main" id="{00000000-0008-0000-0000-00005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xdr:colOff>
          <xdr:row>175</xdr:row>
          <xdr:rowOff>12700</xdr:rowOff>
        </xdr:from>
        <xdr:to>
          <xdr:col>28</xdr:col>
          <xdr:colOff>146050</xdr:colOff>
          <xdr:row>176</xdr:row>
          <xdr:rowOff>31750</xdr:rowOff>
        </xdr:to>
        <xdr:sp macro="" textlink="">
          <xdr:nvSpPr>
            <xdr:cNvPr id="17493" name="Check Box 85" hidden="1">
              <a:extLst>
                <a:ext uri="{63B3BB69-23CF-44E3-9099-C40C66FF867C}">
                  <a14:compatExt spid="_x0000_s17493"/>
                </a:ext>
                <a:ext uri="{FF2B5EF4-FFF2-40B4-BE49-F238E27FC236}">
                  <a16:creationId xmlns:a16="http://schemas.microsoft.com/office/drawing/2014/main" id="{00000000-0008-0000-0000-00005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19050</xdr:colOff>
          <xdr:row>320</xdr:row>
          <xdr:rowOff>0</xdr:rowOff>
        </xdr:from>
        <xdr:to>
          <xdr:col>27</xdr:col>
          <xdr:colOff>146050</xdr:colOff>
          <xdr:row>321</xdr:row>
          <xdr:rowOff>19050</xdr:rowOff>
        </xdr:to>
        <xdr:sp macro="" textlink="">
          <xdr:nvSpPr>
            <xdr:cNvPr id="17494" name="Check Box 86" hidden="1">
              <a:extLst>
                <a:ext uri="{63B3BB69-23CF-44E3-9099-C40C66FF867C}">
                  <a14:compatExt spid="_x0000_s17494"/>
                </a:ext>
                <a:ext uri="{FF2B5EF4-FFF2-40B4-BE49-F238E27FC236}">
                  <a16:creationId xmlns:a16="http://schemas.microsoft.com/office/drawing/2014/main" id="{00000000-0008-0000-0000-00005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19050</xdr:colOff>
          <xdr:row>163</xdr:row>
          <xdr:rowOff>0</xdr:rowOff>
        </xdr:from>
        <xdr:to>
          <xdr:col>26</xdr:col>
          <xdr:colOff>152400</xdr:colOff>
          <xdr:row>164</xdr:row>
          <xdr:rowOff>19050</xdr:rowOff>
        </xdr:to>
        <xdr:sp macro="" textlink="">
          <xdr:nvSpPr>
            <xdr:cNvPr id="17495" name="Check Box 87" hidden="1">
              <a:extLst>
                <a:ext uri="{63B3BB69-23CF-44E3-9099-C40C66FF867C}">
                  <a14:compatExt spid="_x0000_s17495"/>
                </a:ext>
                <a:ext uri="{FF2B5EF4-FFF2-40B4-BE49-F238E27FC236}">
                  <a16:creationId xmlns:a16="http://schemas.microsoft.com/office/drawing/2014/main" id="{00000000-0008-0000-0000-00005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19050</xdr:colOff>
          <xdr:row>163</xdr:row>
          <xdr:rowOff>0</xdr:rowOff>
        </xdr:from>
        <xdr:to>
          <xdr:col>36</xdr:col>
          <xdr:colOff>152400</xdr:colOff>
          <xdr:row>164</xdr:row>
          <xdr:rowOff>19050</xdr:rowOff>
        </xdr:to>
        <xdr:sp macro="" textlink="">
          <xdr:nvSpPr>
            <xdr:cNvPr id="17496" name="Check Box 88" hidden="1">
              <a:extLst>
                <a:ext uri="{63B3BB69-23CF-44E3-9099-C40C66FF867C}">
                  <a14:compatExt spid="_x0000_s17496"/>
                </a:ext>
                <a:ext uri="{FF2B5EF4-FFF2-40B4-BE49-F238E27FC236}">
                  <a16:creationId xmlns:a16="http://schemas.microsoft.com/office/drawing/2014/main" id="{00000000-0008-0000-0000-00005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31750</xdr:colOff>
          <xdr:row>153</xdr:row>
          <xdr:rowOff>190500</xdr:rowOff>
        </xdr:from>
        <xdr:to>
          <xdr:col>22</xdr:col>
          <xdr:colOff>165100</xdr:colOff>
          <xdr:row>155</xdr:row>
          <xdr:rowOff>0</xdr:rowOff>
        </xdr:to>
        <xdr:sp macro="" textlink="">
          <xdr:nvSpPr>
            <xdr:cNvPr id="17497" name="Check Box 89" hidden="1">
              <a:extLst>
                <a:ext uri="{63B3BB69-23CF-44E3-9099-C40C66FF867C}">
                  <a14:compatExt spid="_x0000_s17497"/>
                </a:ext>
                <a:ext uri="{FF2B5EF4-FFF2-40B4-BE49-F238E27FC236}">
                  <a16:creationId xmlns:a16="http://schemas.microsoft.com/office/drawing/2014/main" id="{00000000-0008-0000-0000-00005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31750</xdr:colOff>
          <xdr:row>191</xdr:row>
          <xdr:rowOff>69850</xdr:rowOff>
        </xdr:from>
        <xdr:to>
          <xdr:col>21</xdr:col>
          <xdr:colOff>152400</xdr:colOff>
          <xdr:row>193</xdr:row>
          <xdr:rowOff>12700</xdr:rowOff>
        </xdr:to>
        <xdr:sp macro="" textlink="">
          <xdr:nvSpPr>
            <xdr:cNvPr id="17498" name="Check Box 90" hidden="1">
              <a:extLst>
                <a:ext uri="{63B3BB69-23CF-44E3-9099-C40C66FF867C}">
                  <a14:compatExt spid="_x0000_s17498"/>
                </a:ext>
                <a:ext uri="{FF2B5EF4-FFF2-40B4-BE49-F238E27FC236}">
                  <a16:creationId xmlns:a16="http://schemas.microsoft.com/office/drawing/2014/main" id="{00000000-0008-0000-0000-00005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65</xdr:row>
          <xdr:rowOff>31750</xdr:rowOff>
        </xdr:from>
        <xdr:to>
          <xdr:col>4</xdr:col>
          <xdr:colOff>133350</xdr:colOff>
          <xdr:row>67</xdr:row>
          <xdr:rowOff>69850</xdr:rowOff>
        </xdr:to>
        <xdr:sp macro="" textlink="">
          <xdr:nvSpPr>
            <xdr:cNvPr id="17499" name="Check Box 91" hidden="1">
              <a:extLst>
                <a:ext uri="{63B3BB69-23CF-44E3-9099-C40C66FF867C}">
                  <a14:compatExt spid="_x0000_s17499"/>
                </a:ext>
                <a:ext uri="{FF2B5EF4-FFF2-40B4-BE49-F238E27FC236}">
                  <a16:creationId xmlns:a16="http://schemas.microsoft.com/office/drawing/2014/main" id="{00000000-0008-0000-0000-00005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66</xdr:row>
          <xdr:rowOff>146050</xdr:rowOff>
        </xdr:from>
        <xdr:to>
          <xdr:col>4</xdr:col>
          <xdr:colOff>133350</xdr:colOff>
          <xdr:row>68</xdr:row>
          <xdr:rowOff>69850</xdr:rowOff>
        </xdr:to>
        <xdr:sp macro="" textlink="">
          <xdr:nvSpPr>
            <xdr:cNvPr id="17500" name="Check Box 92" hidden="1">
              <a:extLst>
                <a:ext uri="{63B3BB69-23CF-44E3-9099-C40C66FF867C}">
                  <a14:compatExt spid="_x0000_s17500"/>
                </a:ext>
                <a:ext uri="{FF2B5EF4-FFF2-40B4-BE49-F238E27FC236}">
                  <a16:creationId xmlns:a16="http://schemas.microsoft.com/office/drawing/2014/main" id="{00000000-0008-0000-0000-00005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67</xdr:row>
          <xdr:rowOff>146050</xdr:rowOff>
        </xdr:from>
        <xdr:to>
          <xdr:col>4</xdr:col>
          <xdr:colOff>133350</xdr:colOff>
          <xdr:row>69</xdr:row>
          <xdr:rowOff>69850</xdr:rowOff>
        </xdr:to>
        <xdr:sp macro="" textlink="">
          <xdr:nvSpPr>
            <xdr:cNvPr id="17501" name="Check Box 93" hidden="1">
              <a:extLst>
                <a:ext uri="{63B3BB69-23CF-44E3-9099-C40C66FF867C}">
                  <a14:compatExt spid="_x0000_s17501"/>
                </a:ext>
                <a:ext uri="{FF2B5EF4-FFF2-40B4-BE49-F238E27FC236}">
                  <a16:creationId xmlns:a16="http://schemas.microsoft.com/office/drawing/2014/main" id="{00000000-0008-0000-0000-00005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68</xdr:row>
          <xdr:rowOff>146050</xdr:rowOff>
        </xdr:from>
        <xdr:to>
          <xdr:col>4</xdr:col>
          <xdr:colOff>133350</xdr:colOff>
          <xdr:row>70</xdr:row>
          <xdr:rowOff>69850</xdr:rowOff>
        </xdr:to>
        <xdr:sp macro="" textlink="">
          <xdr:nvSpPr>
            <xdr:cNvPr id="17502" name="Check Box 94" hidden="1">
              <a:extLst>
                <a:ext uri="{63B3BB69-23CF-44E3-9099-C40C66FF867C}">
                  <a14:compatExt spid="_x0000_s17502"/>
                </a:ext>
                <a:ext uri="{FF2B5EF4-FFF2-40B4-BE49-F238E27FC236}">
                  <a16:creationId xmlns:a16="http://schemas.microsoft.com/office/drawing/2014/main" id="{00000000-0008-0000-0000-00005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69</xdr:row>
          <xdr:rowOff>146050</xdr:rowOff>
        </xdr:from>
        <xdr:to>
          <xdr:col>4</xdr:col>
          <xdr:colOff>133350</xdr:colOff>
          <xdr:row>71</xdr:row>
          <xdr:rowOff>69850</xdr:rowOff>
        </xdr:to>
        <xdr:sp macro="" textlink="">
          <xdr:nvSpPr>
            <xdr:cNvPr id="17503" name="Check Box 95" hidden="1">
              <a:extLst>
                <a:ext uri="{63B3BB69-23CF-44E3-9099-C40C66FF867C}">
                  <a14:compatExt spid="_x0000_s17503"/>
                </a:ext>
                <a:ext uri="{FF2B5EF4-FFF2-40B4-BE49-F238E27FC236}">
                  <a16:creationId xmlns:a16="http://schemas.microsoft.com/office/drawing/2014/main" id="{00000000-0008-0000-0000-00005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70</xdr:row>
          <xdr:rowOff>146050</xdr:rowOff>
        </xdr:from>
        <xdr:to>
          <xdr:col>4</xdr:col>
          <xdr:colOff>133350</xdr:colOff>
          <xdr:row>72</xdr:row>
          <xdr:rowOff>69850</xdr:rowOff>
        </xdr:to>
        <xdr:sp macro="" textlink="">
          <xdr:nvSpPr>
            <xdr:cNvPr id="17504" name="Check Box 96" hidden="1">
              <a:extLst>
                <a:ext uri="{63B3BB69-23CF-44E3-9099-C40C66FF867C}">
                  <a14:compatExt spid="_x0000_s17504"/>
                </a:ext>
                <a:ext uri="{FF2B5EF4-FFF2-40B4-BE49-F238E27FC236}">
                  <a16:creationId xmlns:a16="http://schemas.microsoft.com/office/drawing/2014/main" id="{00000000-0008-0000-0000-00006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77</xdr:row>
          <xdr:rowOff>50800</xdr:rowOff>
        </xdr:from>
        <xdr:to>
          <xdr:col>6</xdr:col>
          <xdr:colOff>114300</xdr:colOff>
          <xdr:row>79</xdr:row>
          <xdr:rowOff>88900</xdr:rowOff>
        </xdr:to>
        <xdr:sp macro="" textlink="">
          <xdr:nvSpPr>
            <xdr:cNvPr id="17505" name="Check Box 97" hidden="1">
              <a:extLst>
                <a:ext uri="{63B3BB69-23CF-44E3-9099-C40C66FF867C}">
                  <a14:compatExt spid="_x0000_s17505"/>
                </a:ext>
                <a:ext uri="{FF2B5EF4-FFF2-40B4-BE49-F238E27FC236}">
                  <a16:creationId xmlns:a16="http://schemas.microsoft.com/office/drawing/2014/main" id="{00000000-0008-0000-0000-00006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78</xdr:row>
          <xdr:rowOff>165100</xdr:rowOff>
        </xdr:from>
        <xdr:to>
          <xdr:col>6</xdr:col>
          <xdr:colOff>114300</xdr:colOff>
          <xdr:row>80</xdr:row>
          <xdr:rowOff>88900</xdr:rowOff>
        </xdr:to>
        <xdr:sp macro="" textlink="">
          <xdr:nvSpPr>
            <xdr:cNvPr id="17506" name="Check Box 98" hidden="1">
              <a:extLst>
                <a:ext uri="{63B3BB69-23CF-44E3-9099-C40C66FF867C}">
                  <a14:compatExt spid="_x0000_s17506"/>
                </a:ext>
                <a:ext uri="{FF2B5EF4-FFF2-40B4-BE49-F238E27FC236}">
                  <a16:creationId xmlns:a16="http://schemas.microsoft.com/office/drawing/2014/main" id="{00000000-0008-0000-0000-00006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79</xdr:row>
          <xdr:rowOff>165100</xdr:rowOff>
        </xdr:from>
        <xdr:to>
          <xdr:col>6</xdr:col>
          <xdr:colOff>114300</xdr:colOff>
          <xdr:row>81</xdr:row>
          <xdr:rowOff>88900</xdr:rowOff>
        </xdr:to>
        <xdr:sp macro="" textlink="">
          <xdr:nvSpPr>
            <xdr:cNvPr id="17507" name="Check Box 99" hidden="1">
              <a:extLst>
                <a:ext uri="{63B3BB69-23CF-44E3-9099-C40C66FF867C}">
                  <a14:compatExt spid="_x0000_s17507"/>
                </a:ext>
                <a:ext uri="{FF2B5EF4-FFF2-40B4-BE49-F238E27FC236}">
                  <a16:creationId xmlns:a16="http://schemas.microsoft.com/office/drawing/2014/main" id="{00000000-0008-0000-0000-00006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80</xdr:row>
          <xdr:rowOff>152400</xdr:rowOff>
        </xdr:from>
        <xdr:to>
          <xdr:col>6</xdr:col>
          <xdr:colOff>114300</xdr:colOff>
          <xdr:row>83</xdr:row>
          <xdr:rowOff>0</xdr:rowOff>
        </xdr:to>
        <xdr:sp macro="" textlink="">
          <xdr:nvSpPr>
            <xdr:cNvPr id="17508" name="Check Box 100" hidden="1">
              <a:extLst>
                <a:ext uri="{63B3BB69-23CF-44E3-9099-C40C66FF867C}">
                  <a14:compatExt spid="_x0000_s17508"/>
                </a:ext>
                <a:ext uri="{FF2B5EF4-FFF2-40B4-BE49-F238E27FC236}">
                  <a16:creationId xmlns:a16="http://schemas.microsoft.com/office/drawing/2014/main" id="{00000000-0008-0000-0000-00006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165100</xdr:colOff>
          <xdr:row>82</xdr:row>
          <xdr:rowOff>38100</xdr:rowOff>
        </xdr:from>
        <xdr:to>
          <xdr:col>7</xdr:col>
          <xdr:colOff>127000</xdr:colOff>
          <xdr:row>84</xdr:row>
          <xdr:rowOff>76200</xdr:rowOff>
        </xdr:to>
        <xdr:sp macro="" textlink="">
          <xdr:nvSpPr>
            <xdr:cNvPr id="17509" name="Check Box 101" hidden="1">
              <a:extLst>
                <a:ext uri="{63B3BB69-23CF-44E3-9099-C40C66FF867C}">
                  <a14:compatExt spid="_x0000_s17509"/>
                </a:ext>
                <a:ext uri="{FF2B5EF4-FFF2-40B4-BE49-F238E27FC236}">
                  <a16:creationId xmlns:a16="http://schemas.microsoft.com/office/drawing/2014/main" id="{00000000-0008-0000-0000-00006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165100</xdr:colOff>
          <xdr:row>83</xdr:row>
          <xdr:rowOff>165100</xdr:rowOff>
        </xdr:from>
        <xdr:to>
          <xdr:col>7</xdr:col>
          <xdr:colOff>127000</xdr:colOff>
          <xdr:row>85</xdr:row>
          <xdr:rowOff>88900</xdr:rowOff>
        </xdr:to>
        <xdr:sp macro="" textlink="">
          <xdr:nvSpPr>
            <xdr:cNvPr id="17510" name="Check Box 102" hidden="1">
              <a:extLst>
                <a:ext uri="{63B3BB69-23CF-44E3-9099-C40C66FF867C}">
                  <a14:compatExt spid="_x0000_s17510"/>
                </a:ext>
                <a:ext uri="{FF2B5EF4-FFF2-40B4-BE49-F238E27FC236}">
                  <a16:creationId xmlns:a16="http://schemas.microsoft.com/office/drawing/2014/main" id="{00000000-0008-0000-0000-00006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87</xdr:row>
          <xdr:rowOff>50800</xdr:rowOff>
        </xdr:from>
        <xdr:to>
          <xdr:col>6</xdr:col>
          <xdr:colOff>114300</xdr:colOff>
          <xdr:row>89</xdr:row>
          <xdr:rowOff>95250</xdr:rowOff>
        </xdr:to>
        <xdr:sp macro="" textlink="">
          <xdr:nvSpPr>
            <xdr:cNvPr id="17511" name="Check Box 103" hidden="1">
              <a:extLst>
                <a:ext uri="{63B3BB69-23CF-44E3-9099-C40C66FF867C}">
                  <a14:compatExt spid="_x0000_s17511"/>
                </a:ext>
                <a:ext uri="{FF2B5EF4-FFF2-40B4-BE49-F238E27FC236}">
                  <a16:creationId xmlns:a16="http://schemas.microsoft.com/office/drawing/2014/main" id="{00000000-0008-0000-0000-00006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88</xdr:row>
          <xdr:rowOff>171450</xdr:rowOff>
        </xdr:from>
        <xdr:to>
          <xdr:col>6</xdr:col>
          <xdr:colOff>114300</xdr:colOff>
          <xdr:row>90</xdr:row>
          <xdr:rowOff>95250</xdr:rowOff>
        </xdr:to>
        <xdr:sp macro="" textlink="">
          <xdr:nvSpPr>
            <xdr:cNvPr id="17512" name="Check Box 104" hidden="1">
              <a:extLst>
                <a:ext uri="{63B3BB69-23CF-44E3-9099-C40C66FF867C}">
                  <a14:compatExt spid="_x0000_s17512"/>
                </a:ext>
                <a:ext uri="{FF2B5EF4-FFF2-40B4-BE49-F238E27FC236}">
                  <a16:creationId xmlns:a16="http://schemas.microsoft.com/office/drawing/2014/main" id="{00000000-0008-0000-0000-00006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89</xdr:row>
          <xdr:rowOff>171450</xdr:rowOff>
        </xdr:from>
        <xdr:to>
          <xdr:col>6</xdr:col>
          <xdr:colOff>114300</xdr:colOff>
          <xdr:row>91</xdr:row>
          <xdr:rowOff>95250</xdr:rowOff>
        </xdr:to>
        <xdr:sp macro="" textlink="">
          <xdr:nvSpPr>
            <xdr:cNvPr id="17513" name="Check Box 105" hidden="1">
              <a:extLst>
                <a:ext uri="{63B3BB69-23CF-44E3-9099-C40C66FF867C}">
                  <a14:compatExt spid="_x0000_s17513"/>
                </a:ext>
                <a:ext uri="{FF2B5EF4-FFF2-40B4-BE49-F238E27FC236}">
                  <a16:creationId xmlns:a16="http://schemas.microsoft.com/office/drawing/2014/main" id="{00000000-0008-0000-0000-00006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95</xdr:row>
          <xdr:rowOff>57150</xdr:rowOff>
        </xdr:from>
        <xdr:to>
          <xdr:col>6</xdr:col>
          <xdr:colOff>114300</xdr:colOff>
          <xdr:row>97</xdr:row>
          <xdr:rowOff>107950</xdr:rowOff>
        </xdr:to>
        <xdr:sp macro="" textlink="">
          <xdr:nvSpPr>
            <xdr:cNvPr id="17514" name="Check Box 106" hidden="1">
              <a:extLst>
                <a:ext uri="{63B3BB69-23CF-44E3-9099-C40C66FF867C}">
                  <a14:compatExt spid="_x0000_s17514"/>
                </a:ext>
                <a:ext uri="{FF2B5EF4-FFF2-40B4-BE49-F238E27FC236}">
                  <a16:creationId xmlns:a16="http://schemas.microsoft.com/office/drawing/2014/main" id="{00000000-0008-0000-0000-00006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96</xdr:row>
          <xdr:rowOff>171450</xdr:rowOff>
        </xdr:from>
        <xdr:to>
          <xdr:col>6</xdr:col>
          <xdr:colOff>114300</xdr:colOff>
          <xdr:row>98</xdr:row>
          <xdr:rowOff>95250</xdr:rowOff>
        </xdr:to>
        <xdr:sp macro="" textlink="">
          <xdr:nvSpPr>
            <xdr:cNvPr id="17515" name="Check Box 107" hidden="1">
              <a:extLst>
                <a:ext uri="{63B3BB69-23CF-44E3-9099-C40C66FF867C}">
                  <a14:compatExt spid="_x0000_s17515"/>
                </a:ext>
                <a:ext uri="{FF2B5EF4-FFF2-40B4-BE49-F238E27FC236}">
                  <a16:creationId xmlns:a16="http://schemas.microsoft.com/office/drawing/2014/main" id="{00000000-0008-0000-0000-00006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97</xdr:row>
          <xdr:rowOff>171450</xdr:rowOff>
        </xdr:from>
        <xdr:to>
          <xdr:col>6</xdr:col>
          <xdr:colOff>114300</xdr:colOff>
          <xdr:row>99</xdr:row>
          <xdr:rowOff>95250</xdr:rowOff>
        </xdr:to>
        <xdr:sp macro="" textlink="">
          <xdr:nvSpPr>
            <xdr:cNvPr id="17516" name="Check Box 108" hidden="1">
              <a:extLst>
                <a:ext uri="{63B3BB69-23CF-44E3-9099-C40C66FF867C}">
                  <a14:compatExt spid="_x0000_s17516"/>
                </a:ext>
                <a:ext uri="{FF2B5EF4-FFF2-40B4-BE49-F238E27FC236}">
                  <a16:creationId xmlns:a16="http://schemas.microsoft.com/office/drawing/2014/main" id="{00000000-0008-0000-0000-00006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98</xdr:row>
          <xdr:rowOff>171450</xdr:rowOff>
        </xdr:from>
        <xdr:to>
          <xdr:col>6</xdr:col>
          <xdr:colOff>114300</xdr:colOff>
          <xdr:row>100</xdr:row>
          <xdr:rowOff>95250</xdr:rowOff>
        </xdr:to>
        <xdr:sp macro="" textlink="">
          <xdr:nvSpPr>
            <xdr:cNvPr id="17517" name="Check Box 109" hidden="1">
              <a:extLst>
                <a:ext uri="{63B3BB69-23CF-44E3-9099-C40C66FF867C}">
                  <a14:compatExt spid="_x0000_s17517"/>
                </a:ext>
                <a:ext uri="{FF2B5EF4-FFF2-40B4-BE49-F238E27FC236}">
                  <a16:creationId xmlns:a16="http://schemas.microsoft.com/office/drawing/2014/main" id="{00000000-0008-0000-0000-00006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104</xdr:row>
          <xdr:rowOff>31750</xdr:rowOff>
        </xdr:from>
        <xdr:to>
          <xdr:col>6</xdr:col>
          <xdr:colOff>114300</xdr:colOff>
          <xdr:row>106</xdr:row>
          <xdr:rowOff>69850</xdr:rowOff>
        </xdr:to>
        <xdr:sp macro="" textlink="">
          <xdr:nvSpPr>
            <xdr:cNvPr id="17518" name="Check Box 110" hidden="1">
              <a:extLst>
                <a:ext uri="{63B3BB69-23CF-44E3-9099-C40C66FF867C}">
                  <a14:compatExt spid="_x0000_s17518"/>
                </a:ext>
                <a:ext uri="{FF2B5EF4-FFF2-40B4-BE49-F238E27FC236}">
                  <a16:creationId xmlns:a16="http://schemas.microsoft.com/office/drawing/2014/main" id="{00000000-0008-0000-0000-00006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105</xdr:row>
          <xdr:rowOff>133350</xdr:rowOff>
        </xdr:from>
        <xdr:to>
          <xdr:col>6</xdr:col>
          <xdr:colOff>114300</xdr:colOff>
          <xdr:row>107</xdr:row>
          <xdr:rowOff>57150</xdr:rowOff>
        </xdr:to>
        <xdr:sp macro="" textlink="">
          <xdr:nvSpPr>
            <xdr:cNvPr id="17519" name="Check Box 111" hidden="1">
              <a:extLst>
                <a:ext uri="{63B3BB69-23CF-44E3-9099-C40C66FF867C}">
                  <a14:compatExt spid="_x0000_s17519"/>
                </a:ext>
                <a:ext uri="{FF2B5EF4-FFF2-40B4-BE49-F238E27FC236}">
                  <a16:creationId xmlns:a16="http://schemas.microsoft.com/office/drawing/2014/main" id="{00000000-0008-0000-0000-00006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106</xdr:row>
          <xdr:rowOff>146050</xdr:rowOff>
        </xdr:from>
        <xdr:to>
          <xdr:col>6</xdr:col>
          <xdr:colOff>114300</xdr:colOff>
          <xdr:row>108</xdr:row>
          <xdr:rowOff>69850</xdr:rowOff>
        </xdr:to>
        <xdr:sp macro="" textlink="">
          <xdr:nvSpPr>
            <xdr:cNvPr id="17520" name="Check Box 112" hidden="1">
              <a:extLst>
                <a:ext uri="{63B3BB69-23CF-44E3-9099-C40C66FF867C}">
                  <a14:compatExt spid="_x0000_s17520"/>
                </a:ext>
                <a:ext uri="{FF2B5EF4-FFF2-40B4-BE49-F238E27FC236}">
                  <a16:creationId xmlns:a16="http://schemas.microsoft.com/office/drawing/2014/main" id="{00000000-0008-0000-0000-00007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107</xdr:row>
          <xdr:rowOff>146050</xdr:rowOff>
        </xdr:from>
        <xdr:to>
          <xdr:col>6</xdr:col>
          <xdr:colOff>114300</xdr:colOff>
          <xdr:row>110</xdr:row>
          <xdr:rowOff>0</xdr:rowOff>
        </xdr:to>
        <xdr:sp macro="" textlink="">
          <xdr:nvSpPr>
            <xdr:cNvPr id="17521" name="Check Box 113" hidden="1">
              <a:extLst>
                <a:ext uri="{63B3BB69-23CF-44E3-9099-C40C66FF867C}">
                  <a14:compatExt spid="_x0000_s17521"/>
                </a:ext>
                <a:ext uri="{FF2B5EF4-FFF2-40B4-BE49-F238E27FC236}">
                  <a16:creationId xmlns:a16="http://schemas.microsoft.com/office/drawing/2014/main" id="{00000000-0008-0000-0000-00007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165100</xdr:colOff>
          <xdr:row>109</xdr:row>
          <xdr:rowOff>31750</xdr:rowOff>
        </xdr:from>
        <xdr:to>
          <xdr:col>7</xdr:col>
          <xdr:colOff>127000</xdr:colOff>
          <xdr:row>111</xdr:row>
          <xdr:rowOff>69850</xdr:rowOff>
        </xdr:to>
        <xdr:sp macro="" textlink="">
          <xdr:nvSpPr>
            <xdr:cNvPr id="17522" name="Check Box 114" hidden="1">
              <a:extLst>
                <a:ext uri="{63B3BB69-23CF-44E3-9099-C40C66FF867C}">
                  <a14:compatExt spid="_x0000_s17522"/>
                </a:ext>
                <a:ext uri="{FF2B5EF4-FFF2-40B4-BE49-F238E27FC236}">
                  <a16:creationId xmlns:a16="http://schemas.microsoft.com/office/drawing/2014/main" id="{00000000-0008-0000-0000-00007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165100</xdr:colOff>
          <xdr:row>110</xdr:row>
          <xdr:rowOff>133350</xdr:rowOff>
        </xdr:from>
        <xdr:to>
          <xdr:col>7</xdr:col>
          <xdr:colOff>127000</xdr:colOff>
          <xdr:row>112</xdr:row>
          <xdr:rowOff>57150</xdr:rowOff>
        </xdr:to>
        <xdr:sp macro="" textlink="">
          <xdr:nvSpPr>
            <xdr:cNvPr id="17523" name="Check Box 115" hidden="1">
              <a:extLst>
                <a:ext uri="{63B3BB69-23CF-44E3-9099-C40C66FF867C}">
                  <a14:compatExt spid="_x0000_s17523"/>
                </a:ext>
                <a:ext uri="{FF2B5EF4-FFF2-40B4-BE49-F238E27FC236}">
                  <a16:creationId xmlns:a16="http://schemas.microsoft.com/office/drawing/2014/main" id="{00000000-0008-0000-0000-00007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114</xdr:row>
          <xdr:rowOff>38100</xdr:rowOff>
        </xdr:from>
        <xdr:to>
          <xdr:col>6</xdr:col>
          <xdr:colOff>114300</xdr:colOff>
          <xdr:row>116</xdr:row>
          <xdr:rowOff>88900</xdr:rowOff>
        </xdr:to>
        <xdr:sp macro="" textlink="">
          <xdr:nvSpPr>
            <xdr:cNvPr id="17524" name="Check Box 116" hidden="1">
              <a:extLst>
                <a:ext uri="{63B3BB69-23CF-44E3-9099-C40C66FF867C}">
                  <a14:compatExt spid="_x0000_s17524"/>
                </a:ext>
                <a:ext uri="{FF2B5EF4-FFF2-40B4-BE49-F238E27FC236}">
                  <a16:creationId xmlns:a16="http://schemas.microsoft.com/office/drawing/2014/main" id="{00000000-0008-0000-0000-00007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115</xdr:row>
          <xdr:rowOff>146050</xdr:rowOff>
        </xdr:from>
        <xdr:to>
          <xdr:col>6</xdr:col>
          <xdr:colOff>114300</xdr:colOff>
          <xdr:row>117</xdr:row>
          <xdr:rowOff>69850</xdr:rowOff>
        </xdr:to>
        <xdr:sp macro="" textlink="">
          <xdr:nvSpPr>
            <xdr:cNvPr id="17525" name="Check Box 117" hidden="1">
              <a:extLst>
                <a:ext uri="{63B3BB69-23CF-44E3-9099-C40C66FF867C}">
                  <a14:compatExt spid="_x0000_s17525"/>
                </a:ext>
                <a:ext uri="{FF2B5EF4-FFF2-40B4-BE49-F238E27FC236}">
                  <a16:creationId xmlns:a16="http://schemas.microsoft.com/office/drawing/2014/main" id="{00000000-0008-0000-0000-00007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116</xdr:row>
          <xdr:rowOff>146050</xdr:rowOff>
        </xdr:from>
        <xdr:to>
          <xdr:col>6</xdr:col>
          <xdr:colOff>114300</xdr:colOff>
          <xdr:row>118</xdr:row>
          <xdr:rowOff>69850</xdr:rowOff>
        </xdr:to>
        <xdr:sp macro="" textlink="">
          <xdr:nvSpPr>
            <xdr:cNvPr id="17526" name="Check Box 118" hidden="1">
              <a:extLst>
                <a:ext uri="{63B3BB69-23CF-44E3-9099-C40C66FF867C}">
                  <a14:compatExt spid="_x0000_s17526"/>
                </a:ext>
                <a:ext uri="{FF2B5EF4-FFF2-40B4-BE49-F238E27FC236}">
                  <a16:creationId xmlns:a16="http://schemas.microsoft.com/office/drawing/2014/main" id="{00000000-0008-0000-0000-00007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117</xdr:row>
          <xdr:rowOff>146050</xdr:rowOff>
        </xdr:from>
        <xdr:to>
          <xdr:col>6</xdr:col>
          <xdr:colOff>114300</xdr:colOff>
          <xdr:row>119</xdr:row>
          <xdr:rowOff>69850</xdr:rowOff>
        </xdr:to>
        <xdr:sp macro="" textlink="">
          <xdr:nvSpPr>
            <xdr:cNvPr id="17527" name="Check Box 119" hidden="1">
              <a:extLst>
                <a:ext uri="{63B3BB69-23CF-44E3-9099-C40C66FF867C}">
                  <a14:compatExt spid="_x0000_s17527"/>
                </a:ext>
                <a:ext uri="{FF2B5EF4-FFF2-40B4-BE49-F238E27FC236}">
                  <a16:creationId xmlns:a16="http://schemas.microsoft.com/office/drawing/2014/main" id="{00000000-0008-0000-0000-00007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66675</xdr:colOff>
      <xdr:row>172</xdr:row>
      <xdr:rowOff>9525</xdr:rowOff>
    </xdr:from>
    <xdr:to>
      <xdr:col>39</xdr:col>
      <xdr:colOff>104775</xdr:colOff>
      <xdr:row>181</xdr:row>
      <xdr:rowOff>19050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618468" y="28518835"/>
          <a:ext cx="6475686" cy="1277336"/>
        </a:xfrm>
        <a:prstGeom prst="rect">
          <a:avLst/>
        </a:prstGeom>
        <a:ln w="12700">
          <a:solidFill>
            <a:schemeClr val="accent2">
              <a:lumMod val="60000"/>
              <a:lumOff val="40000"/>
            </a:schemeClr>
          </a:solidFill>
          <a:prstDash val="soli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4</xdr:col>
      <xdr:colOff>66675</xdr:colOff>
      <xdr:row>181</xdr:row>
      <xdr:rowOff>19051</xdr:rowOff>
    </xdr:from>
    <xdr:to>
      <xdr:col>39</xdr:col>
      <xdr:colOff>104775</xdr:colOff>
      <xdr:row>190</xdr:row>
      <xdr:rowOff>1</xdr:rowOff>
    </xdr:to>
    <xdr:sp macro="" textlink="">
      <xdr:nvSpPr>
        <xdr:cNvPr id="141" name="正方形/長方形 140">
          <a:extLst>
            <a:ext uri="{FF2B5EF4-FFF2-40B4-BE49-F238E27FC236}">
              <a16:creationId xmlns:a16="http://schemas.microsoft.com/office/drawing/2014/main" id="{00000000-0008-0000-0000-00008D000000}"/>
            </a:ext>
          </a:extLst>
        </xdr:cNvPr>
        <xdr:cNvSpPr/>
      </xdr:nvSpPr>
      <xdr:spPr>
        <a:xfrm>
          <a:off x="619125" y="29727526"/>
          <a:ext cx="6372225" cy="1028700"/>
        </a:xfrm>
        <a:prstGeom prst="rect">
          <a:avLst/>
        </a:prstGeom>
        <a:ln w="12700">
          <a:solidFill>
            <a:schemeClr val="accent2">
              <a:lumMod val="60000"/>
              <a:lumOff val="40000"/>
            </a:schemeClr>
          </a:solidFill>
          <a:prstDash val="soli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4</xdr:col>
      <xdr:colOff>66676</xdr:colOff>
      <xdr:row>190</xdr:row>
      <xdr:rowOff>0</xdr:rowOff>
    </xdr:from>
    <xdr:to>
      <xdr:col>39</xdr:col>
      <xdr:colOff>104775</xdr:colOff>
      <xdr:row>195</xdr:row>
      <xdr:rowOff>38100</xdr:rowOff>
    </xdr:to>
    <xdr:sp macro="" textlink="">
      <xdr:nvSpPr>
        <xdr:cNvPr id="142" name="正方形/長方形 141">
          <a:extLst>
            <a:ext uri="{FF2B5EF4-FFF2-40B4-BE49-F238E27FC236}">
              <a16:creationId xmlns:a16="http://schemas.microsoft.com/office/drawing/2014/main" id="{00000000-0008-0000-0000-00008E000000}"/>
            </a:ext>
          </a:extLst>
        </xdr:cNvPr>
        <xdr:cNvSpPr/>
      </xdr:nvSpPr>
      <xdr:spPr>
        <a:xfrm>
          <a:off x="619126" y="30756225"/>
          <a:ext cx="6372224" cy="704850"/>
        </a:xfrm>
        <a:prstGeom prst="rect">
          <a:avLst/>
        </a:prstGeom>
        <a:ln w="12700">
          <a:solidFill>
            <a:schemeClr val="accent2">
              <a:lumMod val="60000"/>
              <a:lumOff val="40000"/>
            </a:schemeClr>
          </a:solidFill>
          <a:prstDash val="soli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5</xdr:col>
      <xdr:colOff>82495</xdr:colOff>
      <xdr:row>242</xdr:row>
      <xdr:rowOff>9522</xdr:rowOff>
    </xdr:from>
    <xdr:to>
      <xdr:col>5</xdr:col>
      <xdr:colOff>168225</xdr:colOff>
      <xdr:row>246</xdr:row>
      <xdr:rowOff>9524</xdr:rowOff>
    </xdr:to>
    <xdr:sp macro="" textlink="">
      <xdr:nvSpPr>
        <xdr:cNvPr id="143" name="右大かっこ 142">
          <a:extLst>
            <a:ext uri="{FF2B5EF4-FFF2-40B4-BE49-F238E27FC236}">
              <a16:creationId xmlns:a16="http://schemas.microsoft.com/office/drawing/2014/main" id="{00000000-0008-0000-0000-00008F000000}"/>
            </a:ext>
          </a:extLst>
        </xdr:cNvPr>
        <xdr:cNvSpPr/>
      </xdr:nvSpPr>
      <xdr:spPr>
        <a:xfrm rot="10800000">
          <a:off x="815920" y="38471472"/>
          <a:ext cx="85730" cy="1104902"/>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twoCellAnchor>
    <xdr:from>
      <xdr:col>39</xdr:col>
      <xdr:colOff>9525</xdr:colOff>
      <xdr:row>242</xdr:row>
      <xdr:rowOff>9524</xdr:rowOff>
    </xdr:from>
    <xdr:to>
      <xdr:col>39</xdr:col>
      <xdr:colOff>95251</xdr:colOff>
      <xdr:row>246</xdr:row>
      <xdr:rowOff>9525</xdr:rowOff>
    </xdr:to>
    <xdr:sp macro="" textlink="">
      <xdr:nvSpPr>
        <xdr:cNvPr id="144" name="右大かっこ 143">
          <a:extLst>
            <a:ext uri="{FF2B5EF4-FFF2-40B4-BE49-F238E27FC236}">
              <a16:creationId xmlns:a16="http://schemas.microsoft.com/office/drawing/2014/main" id="{00000000-0008-0000-0000-000090000000}"/>
            </a:ext>
          </a:extLst>
        </xdr:cNvPr>
        <xdr:cNvSpPr/>
      </xdr:nvSpPr>
      <xdr:spPr>
        <a:xfrm>
          <a:off x="6896100" y="38471474"/>
          <a:ext cx="85726" cy="1104901"/>
        </a:xfrm>
        <a:prstGeom prst="rightBracket">
          <a:avLst>
            <a:gd name="adj" fmla="val 26389"/>
          </a:avLst>
        </a:prstGeom>
      </xdr:spPr>
      <xdr:style>
        <a:lnRef idx="1">
          <a:schemeClr val="dk1"/>
        </a:lnRef>
        <a:fillRef idx="0">
          <a:schemeClr val="dk1"/>
        </a:fillRef>
        <a:effectRef idx="0">
          <a:schemeClr val="dk1"/>
        </a:effectRef>
        <a:fontRef idx="minor">
          <a:schemeClr val="tx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solidFill>
            <a:schemeClr val="tx1"/>
          </a:solidFill>
        </a:ln>
      </a:spPr>
      <a:bodyPr vertOverflow="clip" rtlCol="0" anchor="ctr"/>
      <a:lstStyle>
        <a:defPPr algn="ctr">
          <a:defRPr kumimoji="1" sz="1100"/>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2.xml"/><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22" Type="http://schemas.openxmlformats.org/officeDocument/2006/relationships/ctrlProp" Target="../ctrlProps/ctrlProp18.xml"/><Relationship Id="rId27" Type="http://schemas.openxmlformats.org/officeDocument/2006/relationships/ctrlProp" Target="../ctrlProps/ctrlProp23.xml"/><Relationship Id="rId43" Type="http://schemas.openxmlformats.org/officeDocument/2006/relationships/ctrlProp" Target="../ctrlProps/ctrlProp39.xml"/><Relationship Id="rId48" Type="http://schemas.openxmlformats.org/officeDocument/2006/relationships/ctrlProp" Target="../ctrlProps/ctrlProp44.xml"/><Relationship Id="rId64" Type="http://schemas.openxmlformats.org/officeDocument/2006/relationships/ctrlProp" Target="../ctrlProps/ctrlProp60.xml"/><Relationship Id="rId69" Type="http://schemas.openxmlformats.org/officeDocument/2006/relationships/ctrlProp" Target="../ctrlProps/ctrlProp65.xml"/><Relationship Id="rId113" Type="http://schemas.openxmlformats.org/officeDocument/2006/relationships/ctrlProp" Target="../ctrlProps/ctrlProp109.xml"/><Relationship Id="rId118" Type="http://schemas.openxmlformats.org/officeDocument/2006/relationships/ctrlProp" Target="../ctrlProps/ctrlProp114.xml"/><Relationship Id="rId80" Type="http://schemas.openxmlformats.org/officeDocument/2006/relationships/ctrlProp" Target="../ctrlProps/ctrlProp76.xml"/><Relationship Id="rId85" Type="http://schemas.openxmlformats.org/officeDocument/2006/relationships/ctrlProp" Target="../ctrlProps/ctrlProp81.xml"/><Relationship Id="rId12" Type="http://schemas.openxmlformats.org/officeDocument/2006/relationships/ctrlProp" Target="../ctrlProps/ctrlProp8.xml"/><Relationship Id="rId17" Type="http://schemas.openxmlformats.org/officeDocument/2006/relationships/ctrlProp" Target="../ctrlProps/ctrlProp13.xml"/><Relationship Id="rId33" Type="http://schemas.openxmlformats.org/officeDocument/2006/relationships/ctrlProp" Target="../ctrlProps/ctrlProp29.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08" Type="http://schemas.openxmlformats.org/officeDocument/2006/relationships/ctrlProp" Target="../ctrlProps/ctrlProp104.xml"/><Relationship Id="rId54" Type="http://schemas.openxmlformats.org/officeDocument/2006/relationships/ctrlProp" Target="../ctrlProps/ctrlProp50.xml"/><Relationship Id="rId70" Type="http://schemas.openxmlformats.org/officeDocument/2006/relationships/ctrlProp" Target="../ctrlProps/ctrlProp66.xml"/><Relationship Id="rId75" Type="http://schemas.openxmlformats.org/officeDocument/2006/relationships/ctrlProp" Target="../ctrlProps/ctrlProp71.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mailto:yhagiwara@biken.osaka-u.ac.jp" TargetMode="External"/><Relationship Id="rId6" Type="http://schemas.openxmlformats.org/officeDocument/2006/relationships/ctrlProp" Target="../ctrlProps/ctrlProp2.xml"/><Relationship Id="rId23" Type="http://schemas.openxmlformats.org/officeDocument/2006/relationships/ctrlProp" Target="../ctrlProps/ctrlProp19.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119" Type="http://schemas.openxmlformats.org/officeDocument/2006/relationships/ctrlProp" Target="../ctrlProps/ctrlProp115.xml"/><Relationship Id="rId44" Type="http://schemas.openxmlformats.org/officeDocument/2006/relationships/ctrlProp" Target="../ctrlProps/ctrlProp40.xml"/><Relationship Id="rId60" Type="http://schemas.openxmlformats.org/officeDocument/2006/relationships/ctrlProp" Target="../ctrlProps/ctrlProp56.xml"/><Relationship Id="rId65" Type="http://schemas.openxmlformats.org/officeDocument/2006/relationships/ctrlProp" Target="../ctrlProps/ctrlProp61.xml"/><Relationship Id="rId81" Type="http://schemas.openxmlformats.org/officeDocument/2006/relationships/ctrlProp" Target="../ctrlProps/ctrlProp77.xml"/><Relationship Id="rId86" Type="http://schemas.openxmlformats.org/officeDocument/2006/relationships/ctrlProp" Target="../ctrlProps/ctrlProp82.xml"/><Relationship Id="rId4" Type="http://schemas.openxmlformats.org/officeDocument/2006/relationships/vmlDrawing" Target="../drawings/vmlDrawing1.vml"/><Relationship Id="rId9" Type="http://schemas.openxmlformats.org/officeDocument/2006/relationships/ctrlProp" Target="../ctrlProps/ctrlProp5.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14" Type="http://schemas.openxmlformats.org/officeDocument/2006/relationships/ctrlProp" Target="../ctrlProps/ctrlProp10.xml"/><Relationship Id="rId30" Type="http://schemas.openxmlformats.org/officeDocument/2006/relationships/ctrlProp" Target="../ctrlProps/ctrlProp26.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116" Type="http://schemas.openxmlformats.org/officeDocument/2006/relationships/ctrlProp" Target="../ctrlProps/ctrlProp112.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88" Type="http://schemas.openxmlformats.org/officeDocument/2006/relationships/ctrlProp" Target="../ctrlProps/ctrlProp84.xml"/><Relationship Id="rId111" Type="http://schemas.openxmlformats.org/officeDocument/2006/relationships/ctrlProp" Target="../ctrlProps/ctrlProp107.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106" Type="http://schemas.openxmlformats.org/officeDocument/2006/relationships/ctrlProp" Target="../ctrlProps/ctrlProp102.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78" Type="http://schemas.openxmlformats.org/officeDocument/2006/relationships/ctrlProp" Target="../ctrlProps/ctrlProp74.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Q366"/>
  <sheetViews>
    <sheetView tabSelected="1" view="pageBreakPreview" topLeftCell="A353" zoomScale="115" zoomScaleNormal="100" zoomScaleSheetLayoutView="115" workbookViewId="0">
      <selection activeCell="G255" sqref="G255"/>
    </sheetView>
  </sheetViews>
  <sheetFormatPr defaultColWidth="5.69921875" defaultRowHeight="12" x14ac:dyDescent="0.2"/>
  <cols>
    <col min="1" max="1" width="2.09765625" customWidth="1"/>
    <col min="2" max="3" width="1.69921875" customWidth="1"/>
    <col min="4" max="41" width="2.69921875" customWidth="1"/>
    <col min="42" max="42" width="1.69921875" customWidth="1"/>
    <col min="43" max="43" width="2.69921875" customWidth="1"/>
  </cols>
  <sheetData>
    <row r="1" spans="2:43" ht="12" customHeight="1" x14ac:dyDescent="0.2">
      <c r="B1" s="231" t="s">
        <v>0</v>
      </c>
      <c r="C1" s="231"/>
      <c r="D1" s="231"/>
      <c r="E1" s="231"/>
      <c r="F1" s="231"/>
      <c r="G1" s="231"/>
      <c r="H1" s="231"/>
      <c r="I1" s="231"/>
      <c r="J1" s="231"/>
      <c r="K1" s="231"/>
      <c r="L1" s="231"/>
      <c r="M1" s="231"/>
      <c r="N1" s="231"/>
      <c r="O1" s="216"/>
      <c r="P1" s="216"/>
      <c r="Q1" s="216"/>
      <c r="R1" s="216"/>
      <c r="S1" s="1"/>
      <c r="T1" s="1"/>
      <c r="U1" s="1"/>
      <c r="V1" s="1"/>
      <c r="W1" s="1"/>
      <c r="X1" s="1"/>
      <c r="Y1" s="1"/>
      <c r="Z1" s="1"/>
      <c r="AC1" s="237" t="s">
        <v>453</v>
      </c>
      <c r="AD1" s="237"/>
      <c r="AE1" s="237"/>
      <c r="AF1" s="237"/>
      <c r="AG1" s="237"/>
      <c r="AH1" s="237"/>
      <c r="AI1" s="237"/>
      <c r="AJ1" s="237"/>
      <c r="AK1" s="237"/>
      <c r="AL1" s="237"/>
      <c r="AM1" s="237"/>
      <c r="AN1" s="195"/>
      <c r="AO1" s="196" t="s">
        <v>1</v>
      </c>
      <c r="AP1" s="1"/>
    </row>
    <row r="2" spans="2:43" ht="12" customHeight="1" x14ac:dyDescent="0.2">
      <c r="B2" s="231" t="s">
        <v>2</v>
      </c>
      <c r="C2" s="231"/>
      <c r="D2" s="231"/>
      <c r="E2" s="231"/>
      <c r="F2" s="231"/>
      <c r="G2" s="231"/>
      <c r="H2" s="231"/>
      <c r="I2" s="231"/>
      <c r="J2" s="231"/>
      <c r="K2" s="231"/>
      <c r="L2" s="231"/>
      <c r="M2" s="231"/>
      <c r="N2" s="231"/>
      <c r="O2" s="216"/>
      <c r="P2" s="216"/>
      <c r="Q2" s="216"/>
      <c r="R2" s="216"/>
      <c r="S2" s="1"/>
      <c r="T2" s="1"/>
      <c r="U2" s="1"/>
      <c r="V2" s="1"/>
      <c r="W2" s="1"/>
      <c r="X2" s="1"/>
      <c r="Y2" s="1"/>
      <c r="Z2" s="1"/>
      <c r="AI2" s="1"/>
      <c r="AJ2" s="1"/>
      <c r="AK2" s="1"/>
      <c r="AL2" s="1"/>
      <c r="AM2" s="1"/>
      <c r="AN2" s="1"/>
      <c r="AO2" s="82"/>
      <c r="AP2" s="1"/>
    </row>
    <row r="3" spans="2:43" ht="7" customHeight="1" x14ac:dyDescent="0.2">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spans="2:43" s="6" customFormat="1" ht="20.25" customHeight="1" x14ac:dyDescent="0.2">
      <c r="C4" s="190"/>
      <c r="D4" s="190"/>
      <c r="E4" s="190"/>
      <c r="F4" s="190"/>
      <c r="G4" s="235" t="s">
        <v>3</v>
      </c>
      <c r="H4" s="235"/>
      <c r="I4" s="235"/>
      <c r="J4" s="235"/>
      <c r="K4" s="235"/>
      <c r="L4" s="235"/>
      <c r="M4" s="235"/>
      <c r="N4" s="235"/>
      <c r="O4" s="235"/>
      <c r="P4" s="235"/>
      <c r="Q4" s="235"/>
      <c r="R4" s="235"/>
      <c r="S4" s="235"/>
      <c r="T4" s="235"/>
      <c r="U4" s="235"/>
      <c r="V4" s="235"/>
      <c r="W4" s="235"/>
      <c r="X4" s="235"/>
      <c r="Y4" s="235"/>
      <c r="Z4" s="235"/>
      <c r="AA4" s="235"/>
      <c r="AB4" s="235"/>
      <c r="AC4" s="235"/>
      <c r="AD4" s="236" t="s">
        <v>4</v>
      </c>
      <c r="AE4" s="236"/>
      <c r="AF4" s="191" t="s">
        <v>452</v>
      </c>
      <c r="AG4" s="190"/>
      <c r="AH4" s="190"/>
      <c r="AI4" s="190"/>
      <c r="AJ4" s="190"/>
      <c r="AK4" s="190"/>
      <c r="AL4" s="190"/>
      <c r="AM4" s="190"/>
      <c r="AN4" s="190"/>
      <c r="AO4" s="190"/>
      <c r="AP4" s="143"/>
    </row>
    <row r="5" spans="2:43" ht="7" customHeight="1" x14ac:dyDescent="0.2">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row>
    <row r="6" spans="2:43" ht="18" customHeight="1" x14ac:dyDescent="0.2">
      <c r="B6" s="232" t="s">
        <v>5</v>
      </c>
      <c r="C6" s="233"/>
      <c r="D6" s="233"/>
      <c r="E6" s="233"/>
      <c r="F6" s="233"/>
      <c r="G6" s="233"/>
      <c r="H6" s="233"/>
      <c r="I6" s="233"/>
      <c r="J6" s="233"/>
      <c r="K6" s="233"/>
      <c r="L6" s="233"/>
      <c r="M6" s="233"/>
      <c r="N6" s="233"/>
      <c r="O6" s="233"/>
      <c r="P6" s="233"/>
      <c r="Q6" s="233"/>
      <c r="R6" s="233"/>
      <c r="S6" s="233"/>
      <c r="T6" s="233"/>
      <c r="U6" s="233"/>
      <c r="V6" s="233"/>
      <c r="W6" s="233"/>
      <c r="X6" s="232" t="s">
        <v>6</v>
      </c>
      <c r="Y6" s="233"/>
      <c r="Z6" s="233"/>
      <c r="AA6" s="233"/>
      <c r="AB6" s="233"/>
      <c r="AC6" s="233"/>
      <c r="AD6" s="233"/>
      <c r="AE6" s="233"/>
      <c r="AF6" s="233"/>
      <c r="AG6" s="233"/>
      <c r="AH6" s="233"/>
      <c r="AI6" s="233"/>
      <c r="AJ6" s="233"/>
      <c r="AK6" s="233"/>
      <c r="AL6" s="233"/>
      <c r="AM6" s="233"/>
      <c r="AN6" s="233"/>
      <c r="AO6" s="234"/>
      <c r="AP6" s="84"/>
      <c r="AQ6" s="85"/>
    </row>
    <row r="7" spans="2:43" ht="12" customHeight="1" x14ac:dyDescent="0.2">
      <c r="B7" s="238" t="s">
        <v>454</v>
      </c>
      <c r="C7" s="239"/>
      <c r="D7" s="239"/>
      <c r="E7" s="239"/>
      <c r="F7" s="239"/>
      <c r="G7" s="239"/>
      <c r="H7" s="239"/>
      <c r="I7" s="239"/>
      <c r="J7" s="239"/>
      <c r="K7" s="239"/>
      <c r="L7" s="239"/>
      <c r="M7" s="239"/>
      <c r="N7" s="239"/>
      <c r="O7" s="239"/>
      <c r="P7" s="239"/>
      <c r="Q7" s="239"/>
      <c r="R7" s="239"/>
      <c r="S7" s="239"/>
      <c r="T7" s="239"/>
      <c r="U7" s="239"/>
      <c r="V7" s="239"/>
      <c r="W7" s="239"/>
      <c r="X7" s="86" t="s">
        <v>7</v>
      </c>
      <c r="Y7" s="87"/>
      <c r="Z7" s="87"/>
      <c r="AA7" s="244" t="s">
        <v>8</v>
      </c>
      <c r="AB7" s="244"/>
      <c r="AC7" s="244"/>
      <c r="AD7" s="244"/>
      <c r="AE7" s="244"/>
      <c r="AF7" s="87"/>
      <c r="AG7" s="87"/>
      <c r="AH7" s="87"/>
      <c r="AI7" s="87"/>
      <c r="AJ7" s="244" t="s">
        <v>9</v>
      </c>
      <c r="AK7" s="244"/>
      <c r="AL7" s="244"/>
      <c r="AM7" s="244"/>
      <c r="AN7" s="244"/>
      <c r="AO7" s="88"/>
      <c r="AP7" s="89"/>
      <c r="AQ7" s="90"/>
    </row>
    <row r="8" spans="2:43" ht="12" customHeight="1" x14ac:dyDescent="0.2">
      <c r="B8" s="240"/>
      <c r="C8" s="241"/>
      <c r="D8" s="241"/>
      <c r="E8" s="241"/>
      <c r="F8" s="241"/>
      <c r="G8" s="241"/>
      <c r="H8" s="241"/>
      <c r="I8" s="241"/>
      <c r="J8" s="241"/>
      <c r="K8" s="241"/>
      <c r="L8" s="241"/>
      <c r="M8" s="241"/>
      <c r="N8" s="241"/>
      <c r="O8" s="241"/>
      <c r="P8" s="241"/>
      <c r="Q8" s="241"/>
      <c r="R8" s="241"/>
      <c r="S8" s="241"/>
      <c r="T8" s="241"/>
      <c r="U8" s="241"/>
      <c r="V8" s="241"/>
      <c r="W8" s="241"/>
      <c r="X8" s="91"/>
      <c r="Y8" s="245" t="s">
        <v>10</v>
      </c>
      <c r="Z8" s="246"/>
      <c r="AA8" s="249">
        <v>6</v>
      </c>
      <c r="AB8" s="250"/>
      <c r="AC8" s="250"/>
      <c r="AD8" s="250"/>
      <c r="AE8" s="251"/>
      <c r="AF8" s="255" t="s">
        <v>11</v>
      </c>
      <c r="AG8" s="255"/>
      <c r="AH8" s="257"/>
      <c r="AI8" s="258"/>
      <c r="AJ8" s="261">
        <v>202406317</v>
      </c>
      <c r="AK8" s="262"/>
      <c r="AL8" s="262"/>
      <c r="AM8" s="262"/>
      <c r="AN8" s="263"/>
      <c r="AO8" s="92"/>
      <c r="AP8" s="93"/>
      <c r="AQ8" s="94"/>
    </row>
    <row r="9" spans="2:43" ht="12" customHeight="1" x14ac:dyDescent="0.2">
      <c r="B9" s="242"/>
      <c r="C9" s="243"/>
      <c r="D9" s="243"/>
      <c r="E9" s="243"/>
      <c r="F9" s="243"/>
      <c r="G9" s="243"/>
      <c r="H9" s="243"/>
      <c r="I9" s="243"/>
      <c r="J9" s="243"/>
      <c r="K9" s="243"/>
      <c r="L9" s="243"/>
      <c r="M9" s="243"/>
      <c r="N9" s="243"/>
      <c r="O9" s="243"/>
      <c r="P9" s="243"/>
      <c r="Q9" s="243"/>
      <c r="R9" s="243"/>
      <c r="S9" s="243"/>
      <c r="T9" s="243"/>
      <c r="U9" s="243"/>
      <c r="V9" s="243"/>
      <c r="W9" s="243"/>
      <c r="X9" s="95"/>
      <c r="Y9" s="247"/>
      <c r="Z9" s="248"/>
      <c r="AA9" s="252"/>
      <c r="AB9" s="253"/>
      <c r="AC9" s="253"/>
      <c r="AD9" s="253"/>
      <c r="AE9" s="254"/>
      <c r="AF9" s="256"/>
      <c r="AG9" s="256"/>
      <c r="AH9" s="259"/>
      <c r="AI9" s="260"/>
      <c r="AJ9" s="264"/>
      <c r="AK9" s="265"/>
      <c r="AL9" s="265"/>
      <c r="AM9" s="265"/>
      <c r="AN9" s="266"/>
      <c r="AO9" s="96"/>
      <c r="AP9" s="93"/>
      <c r="AQ9" s="94"/>
    </row>
    <row r="10" spans="2:43" ht="12" customHeight="1" x14ac:dyDescent="0.2">
      <c r="B10" s="232" t="s">
        <v>12</v>
      </c>
      <c r="C10" s="233"/>
      <c r="D10" s="233"/>
      <c r="E10" s="233"/>
      <c r="F10" s="233"/>
      <c r="G10" s="233"/>
      <c r="H10" s="233"/>
      <c r="I10" s="233"/>
      <c r="J10" s="233"/>
      <c r="K10" s="233"/>
      <c r="L10" s="233"/>
      <c r="M10" s="233"/>
      <c r="N10" s="233"/>
      <c r="O10" s="233"/>
      <c r="P10" s="233"/>
      <c r="Q10" s="233"/>
      <c r="R10" s="233"/>
      <c r="S10" s="233"/>
      <c r="T10" s="233"/>
      <c r="U10" s="233"/>
      <c r="V10" s="233"/>
      <c r="W10" s="234"/>
      <c r="X10" s="232" t="s">
        <v>13</v>
      </c>
      <c r="Y10" s="233"/>
      <c r="Z10" s="233"/>
      <c r="AA10" s="233"/>
      <c r="AB10" s="233"/>
      <c r="AC10" s="233"/>
      <c r="AD10" s="233"/>
      <c r="AE10" s="233"/>
      <c r="AF10" s="233"/>
      <c r="AG10" s="233"/>
      <c r="AH10" s="233"/>
      <c r="AI10" s="233"/>
      <c r="AJ10" s="233"/>
      <c r="AK10" s="233"/>
      <c r="AL10" s="233"/>
      <c r="AM10" s="233"/>
      <c r="AN10" s="233"/>
      <c r="AO10" s="234"/>
      <c r="AP10" s="93"/>
      <c r="AQ10" s="94"/>
    </row>
    <row r="11" spans="2:43" ht="12" customHeight="1" x14ac:dyDescent="0.2">
      <c r="B11" s="238" t="str">
        <f>ASC(PHONETIC(B7))</f>
        <v>ﾊｷﾞﾜﾗ ﾕｳｷ</v>
      </c>
      <c r="C11" s="239"/>
      <c r="D11" s="286"/>
      <c r="E11" s="286"/>
      <c r="F11" s="286"/>
      <c r="G11" s="286"/>
      <c r="H11" s="286"/>
      <c r="I11" s="286"/>
      <c r="J11" s="286"/>
      <c r="K11" s="286"/>
      <c r="L11" s="286"/>
      <c r="M11" s="286"/>
      <c r="N11" s="286"/>
      <c r="O11" s="286"/>
      <c r="P11" s="286"/>
      <c r="Q11" s="286"/>
      <c r="R11" s="286"/>
      <c r="S11" s="286"/>
      <c r="T11" s="286"/>
      <c r="U11" s="286"/>
      <c r="V11" s="286"/>
      <c r="W11" s="287"/>
      <c r="X11" s="290">
        <v>35199</v>
      </c>
      <c r="Y11" s="291"/>
      <c r="Z11" s="291"/>
      <c r="AA11" s="291"/>
      <c r="AB11" s="291"/>
      <c r="AC11" s="291"/>
      <c r="AD11" s="291"/>
      <c r="AE11" s="291"/>
      <c r="AF11" s="291"/>
      <c r="AG11" s="291"/>
      <c r="AH11" s="291"/>
      <c r="AI11" s="291"/>
      <c r="AJ11" s="291"/>
      <c r="AK11" s="291"/>
      <c r="AL11" s="291"/>
      <c r="AM11" s="291"/>
      <c r="AN11" s="291"/>
      <c r="AO11" s="292"/>
      <c r="AP11" s="93"/>
      <c r="AQ11" s="94"/>
    </row>
    <row r="12" spans="2:43" ht="12" customHeight="1" x14ac:dyDescent="0.2">
      <c r="B12" s="288"/>
      <c r="C12" s="265"/>
      <c r="D12" s="265"/>
      <c r="E12" s="265"/>
      <c r="F12" s="265"/>
      <c r="G12" s="265"/>
      <c r="H12" s="265"/>
      <c r="I12" s="265"/>
      <c r="J12" s="265"/>
      <c r="K12" s="265"/>
      <c r="L12" s="265"/>
      <c r="M12" s="265"/>
      <c r="N12" s="265"/>
      <c r="O12" s="265"/>
      <c r="P12" s="265"/>
      <c r="Q12" s="265"/>
      <c r="R12" s="265"/>
      <c r="S12" s="265"/>
      <c r="T12" s="265"/>
      <c r="U12" s="265"/>
      <c r="V12" s="265"/>
      <c r="W12" s="289"/>
      <c r="X12" s="293"/>
      <c r="Y12" s="294"/>
      <c r="Z12" s="294"/>
      <c r="AA12" s="294"/>
      <c r="AB12" s="294"/>
      <c r="AC12" s="294"/>
      <c r="AD12" s="294"/>
      <c r="AE12" s="294"/>
      <c r="AF12" s="294"/>
      <c r="AG12" s="294"/>
      <c r="AH12" s="294"/>
      <c r="AI12" s="294"/>
      <c r="AJ12" s="294"/>
      <c r="AK12" s="294"/>
      <c r="AL12" s="294"/>
      <c r="AM12" s="294"/>
      <c r="AN12" s="294"/>
      <c r="AO12" s="295"/>
      <c r="AP12" s="93"/>
      <c r="AQ12" s="94"/>
    </row>
    <row r="13" spans="2:43" ht="18" customHeight="1" x14ac:dyDescent="0.2">
      <c r="B13" s="232" t="s">
        <v>14</v>
      </c>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4"/>
      <c r="AP13" s="84"/>
      <c r="AQ13" s="85"/>
    </row>
    <row r="14" spans="2:43" ht="19.5" customHeight="1" x14ac:dyDescent="0.2">
      <c r="B14" s="296" t="s">
        <v>15</v>
      </c>
      <c r="C14" s="297"/>
      <c r="D14" s="297"/>
      <c r="E14" s="97" t="s">
        <v>16</v>
      </c>
      <c r="F14" s="298">
        <v>5620031</v>
      </c>
      <c r="G14" s="299"/>
      <c r="H14" s="299"/>
      <c r="I14" s="299"/>
      <c r="J14" s="299"/>
      <c r="K14" s="299"/>
      <c r="L14" s="299"/>
      <c r="M14" s="299"/>
      <c r="N14" s="299"/>
      <c r="O14" s="299"/>
      <c r="P14" s="299"/>
      <c r="Q14" s="299"/>
      <c r="R14" s="300"/>
      <c r="S14" s="1"/>
      <c r="T14" s="1"/>
      <c r="U14" s="1"/>
      <c r="V14" s="1"/>
      <c r="W14" s="1"/>
      <c r="X14" s="1"/>
      <c r="Y14" s="1"/>
      <c r="Z14" s="1"/>
      <c r="AA14" s="1"/>
      <c r="AB14" s="1"/>
      <c r="AC14" s="1"/>
      <c r="AD14" s="1"/>
      <c r="AE14" s="1"/>
      <c r="AF14" s="1"/>
      <c r="AG14" s="1"/>
      <c r="AH14" s="1"/>
      <c r="AI14" s="1"/>
      <c r="AJ14" s="1"/>
      <c r="AK14" s="1"/>
      <c r="AL14" s="1"/>
      <c r="AM14" s="1"/>
      <c r="AN14" s="1"/>
      <c r="AO14" s="14"/>
      <c r="AP14" s="1"/>
    </row>
    <row r="15" spans="2:43" ht="15" customHeight="1" x14ac:dyDescent="0.2">
      <c r="B15" s="267" t="s">
        <v>17</v>
      </c>
      <c r="C15" s="268"/>
      <c r="D15" s="268"/>
      <c r="E15" s="84" t="s">
        <v>16</v>
      </c>
      <c r="F15" s="269" t="s">
        <v>455</v>
      </c>
      <c r="G15" s="270"/>
      <c r="H15" s="270"/>
      <c r="I15" s="270"/>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1"/>
      <c r="AO15" s="14"/>
      <c r="AP15" s="1"/>
    </row>
    <row r="16" spans="2:43" x14ac:dyDescent="0.2">
      <c r="B16" s="11"/>
      <c r="C16" s="1"/>
      <c r="D16" s="1"/>
      <c r="E16" s="1"/>
      <c r="F16" s="272"/>
      <c r="G16" s="273"/>
      <c r="H16" s="273"/>
      <c r="I16" s="273"/>
      <c r="J16" s="273"/>
      <c r="K16" s="273"/>
      <c r="L16" s="273"/>
      <c r="M16" s="273"/>
      <c r="N16" s="273"/>
      <c r="O16" s="273"/>
      <c r="P16" s="273"/>
      <c r="Q16" s="273"/>
      <c r="R16" s="273"/>
      <c r="S16" s="273"/>
      <c r="T16" s="273"/>
      <c r="U16" s="273"/>
      <c r="V16" s="273"/>
      <c r="W16" s="273"/>
      <c r="X16" s="273"/>
      <c r="Y16" s="273"/>
      <c r="Z16" s="273"/>
      <c r="AA16" s="273"/>
      <c r="AB16" s="273"/>
      <c r="AC16" s="273"/>
      <c r="AD16" s="273"/>
      <c r="AE16" s="273"/>
      <c r="AF16" s="273"/>
      <c r="AG16" s="273"/>
      <c r="AH16" s="273"/>
      <c r="AI16" s="273"/>
      <c r="AJ16" s="273"/>
      <c r="AK16" s="273"/>
      <c r="AL16" s="273"/>
      <c r="AM16" s="273"/>
      <c r="AN16" s="274"/>
      <c r="AO16" s="14"/>
      <c r="AP16" s="1"/>
    </row>
    <row r="17" spans="2:42" x14ac:dyDescent="0.2">
      <c r="B17" s="11"/>
      <c r="C17" s="1"/>
      <c r="D17" s="1"/>
      <c r="E17" s="1"/>
      <c r="F17" s="275"/>
      <c r="G17" s="276"/>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7"/>
      <c r="AO17" s="14"/>
      <c r="AP17" s="1"/>
    </row>
    <row r="18" spans="2:42" ht="20.25" customHeight="1" x14ac:dyDescent="0.2">
      <c r="B18" s="278" t="s">
        <v>18</v>
      </c>
      <c r="C18" s="279"/>
      <c r="D18" s="279"/>
      <c r="E18" s="98" t="s">
        <v>16</v>
      </c>
      <c r="F18" s="361" t="s">
        <v>456</v>
      </c>
      <c r="G18" s="280"/>
      <c r="H18" s="280"/>
      <c r="I18" s="280"/>
      <c r="J18" s="280"/>
      <c r="K18" s="280"/>
      <c r="L18" s="280"/>
      <c r="M18" s="280"/>
      <c r="N18" s="280"/>
      <c r="O18" s="280"/>
      <c r="P18" s="280"/>
      <c r="Q18" s="280"/>
      <c r="R18" s="281"/>
      <c r="S18" s="282" t="s">
        <v>19</v>
      </c>
      <c r="T18" s="283"/>
      <c r="U18" s="283"/>
      <c r="V18" s="283"/>
      <c r="W18" s="283"/>
      <c r="X18" s="99" t="s">
        <v>16</v>
      </c>
      <c r="Y18" s="362" t="s">
        <v>457</v>
      </c>
      <c r="Z18" s="284"/>
      <c r="AA18" s="284"/>
      <c r="AB18" s="284"/>
      <c r="AC18" s="284"/>
      <c r="AD18" s="284"/>
      <c r="AE18" s="284"/>
      <c r="AF18" s="284"/>
      <c r="AG18" s="284"/>
      <c r="AH18" s="284"/>
      <c r="AI18" s="284"/>
      <c r="AJ18" s="284"/>
      <c r="AK18" s="284"/>
      <c r="AL18" s="284"/>
      <c r="AM18" s="284"/>
      <c r="AN18" s="285"/>
      <c r="AO18" s="100"/>
      <c r="AP18" s="1"/>
    </row>
    <row r="19" spans="2:42" ht="20.25" customHeight="1" x14ac:dyDescent="0.2">
      <c r="B19" s="101" t="s">
        <v>20</v>
      </c>
      <c r="C19" s="102"/>
      <c r="D19" s="103"/>
      <c r="E19" s="103"/>
      <c r="F19" s="102"/>
      <c r="G19" s="102"/>
      <c r="H19" s="102"/>
      <c r="I19" s="102"/>
      <c r="J19" s="102"/>
      <c r="K19" s="102"/>
      <c r="L19" s="102"/>
      <c r="M19" s="102"/>
      <c r="N19" s="102"/>
      <c r="O19" s="102"/>
      <c r="P19" s="102"/>
      <c r="Q19" s="102"/>
      <c r="R19" s="102"/>
      <c r="S19" s="102"/>
      <c r="T19" s="104"/>
      <c r="U19" s="104"/>
      <c r="V19" s="104"/>
      <c r="W19" s="104"/>
      <c r="X19" s="104"/>
      <c r="Y19" s="102"/>
      <c r="Z19" s="102"/>
      <c r="AA19" s="102"/>
      <c r="AB19" s="102"/>
      <c r="AC19" s="102"/>
      <c r="AD19" s="102"/>
      <c r="AE19" s="102"/>
      <c r="AF19" s="102"/>
      <c r="AG19" s="102"/>
      <c r="AH19" s="102"/>
      <c r="AI19" s="102"/>
      <c r="AJ19" s="102"/>
      <c r="AK19" s="102"/>
      <c r="AL19" s="102"/>
      <c r="AM19" s="102"/>
      <c r="AN19" s="102"/>
      <c r="AO19" s="105"/>
      <c r="AP19" s="1"/>
    </row>
    <row r="20" spans="2:42" x14ac:dyDescent="0.15">
      <c r="B20" s="209" t="s">
        <v>21</v>
      </c>
      <c r="C20" s="210"/>
      <c r="D20" s="211"/>
      <c r="E20" s="106"/>
      <c r="F20" s="1"/>
      <c r="G20" s="1"/>
      <c r="H20" s="1"/>
      <c r="I20" s="1"/>
      <c r="J20" s="1"/>
      <c r="K20" s="1"/>
      <c r="L20" s="1"/>
      <c r="M20" s="1"/>
      <c r="N20" s="1"/>
      <c r="O20" s="1"/>
      <c r="P20" s="1"/>
      <c r="Q20" s="1"/>
      <c r="R20" s="1"/>
      <c r="S20" s="1"/>
      <c r="T20" s="107" t="s">
        <v>22</v>
      </c>
      <c r="U20" s="108"/>
      <c r="V20" s="108"/>
      <c r="W20" s="108"/>
      <c r="X20" s="108"/>
      <c r="Y20" s="1"/>
      <c r="Z20" s="1"/>
      <c r="AA20" s="1"/>
      <c r="AB20" s="1"/>
      <c r="AC20" s="1"/>
      <c r="AD20" s="1"/>
      <c r="AE20" s="1"/>
      <c r="AF20" s="1"/>
      <c r="AG20" s="1"/>
      <c r="AH20" s="1"/>
      <c r="AI20" s="1"/>
      <c r="AJ20" s="1"/>
      <c r="AK20" s="1"/>
      <c r="AL20" s="1"/>
      <c r="AM20" s="1"/>
      <c r="AN20" s="5"/>
      <c r="AO20" s="16" t="s">
        <v>23</v>
      </c>
      <c r="AP20" s="1"/>
    </row>
    <row r="21" spans="2:42" ht="22" customHeight="1" x14ac:dyDescent="0.2">
      <c r="B21" s="212"/>
      <c r="C21" s="213"/>
      <c r="D21" s="214"/>
      <c r="E21" s="109" t="s">
        <v>24</v>
      </c>
      <c r="F21" s="1" t="s">
        <v>25</v>
      </c>
      <c r="T21" s="193" t="s">
        <v>458</v>
      </c>
      <c r="U21" s="4"/>
      <c r="V21" s="218"/>
      <c r="W21" s="219"/>
      <c r="X21" s="219"/>
      <c r="Y21" s="219"/>
      <c r="Z21" s="219"/>
      <c r="AA21" s="219"/>
      <c r="AB21" s="219"/>
      <c r="AC21" s="219"/>
      <c r="AD21" s="219"/>
      <c r="AE21" s="219"/>
      <c r="AF21" s="219"/>
      <c r="AG21" s="219"/>
      <c r="AH21" s="219"/>
      <c r="AI21" s="219"/>
      <c r="AJ21" s="219"/>
      <c r="AK21" s="219"/>
      <c r="AL21" s="220"/>
      <c r="AM21" s="221"/>
      <c r="AN21" s="222"/>
      <c r="AO21" s="14"/>
      <c r="AP21" s="1"/>
    </row>
    <row r="22" spans="2:42" ht="6" customHeight="1" x14ac:dyDescent="0.2">
      <c r="B22" s="212"/>
      <c r="C22" s="213"/>
      <c r="D22" s="214"/>
      <c r="E22" s="109"/>
      <c r="F22" s="1"/>
      <c r="T22" s="110"/>
      <c r="U22" s="4"/>
      <c r="V22" s="4"/>
      <c r="W22" s="4"/>
      <c r="X22" s="4"/>
      <c r="Y22" s="4"/>
      <c r="Z22" s="4"/>
      <c r="AA22" s="4"/>
      <c r="AB22" s="4"/>
      <c r="AC22" s="4"/>
      <c r="AD22" s="4"/>
      <c r="AE22" s="4"/>
      <c r="AF22" s="4"/>
      <c r="AG22" s="4"/>
      <c r="AH22" s="4"/>
      <c r="AI22" s="4"/>
      <c r="AJ22" s="4"/>
      <c r="AK22" s="4"/>
      <c r="AL22" s="4"/>
      <c r="AM22" s="4"/>
      <c r="AN22" s="4"/>
      <c r="AO22" s="14"/>
      <c r="AP22" s="1"/>
    </row>
    <row r="23" spans="2:42" ht="20.25" customHeight="1" x14ac:dyDescent="0.2">
      <c r="B23" s="212"/>
      <c r="C23" s="213"/>
      <c r="D23" s="214"/>
      <c r="E23" s="106" t="s">
        <v>24</v>
      </c>
      <c r="F23" s="1" t="s">
        <v>26</v>
      </c>
      <c r="G23" s="4"/>
      <c r="H23" s="4"/>
      <c r="I23" s="4"/>
      <c r="J23" s="4"/>
      <c r="K23" s="4"/>
      <c r="L23" s="4"/>
      <c r="AO23" s="14"/>
      <c r="AP23" s="1"/>
    </row>
    <row r="24" spans="2:42" ht="30" customHeight="1" x14ac:dyDescent="0.2">
      <c r="B24" s="212"/>
      <c r="C24" s="213"/>
      <c r="D24" s="214"/>
      <c r="E24" s="106"/>
      <c r="F24" s="111" t="s">
        <v>27</v>
      </c>
      <c r="G24" s="223" t="s">
        <v>28</v>
      </c>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14"/>
      <c r="AP24" s="1"/>
    </row>
    <row r="25" spans="2:42" ht="22" customHeight="1" x14ac:dyDescent="0.2">
      <c r="B25" s="212"/>
      <c r="C25" s="213"/>
      <c r="D25" s="214"/>
      <c r="E25" s="106"/>
      <c r="F25" s="1" t="s">
        <v>10</v>
      </c>
      <c r="G25" s="1"/>
      <c r="H25" s="194"/>
      <c r="I25" s="1" t="s">
        <v>29</v>
      </c>
      <c r="J25" s="194"/>
      <c r="K25" s="1" t="s">
        <v>30</v>
      </c>
      <c r="L25" s="1" t="s">
        <v>31</v>
      </c>
      <c r="M25" s="1" t="s">
        <v>10</v>
      </c>
      <c r="N25" s="1"/>
      <c r="O25" s="194"/>
      <c r="P25" s="1" t="s">
        <v>29</v>
      </c>
      <c r="Q25" s="194"/>
      <c r="R25" s="1" t="s">
        <v>30</v>
      </c>
      <c r="T25" s="193"/>
      <c r="U25" s="112"/>
      <c r="V25" s="225"/>
      <c r="W25" s="226"/>
      <c r="X25" s="226"/>
      <c r="Y25" s="226"/>
      <c r="Z25" s="226"/>
      <c r="AA25" s="226"/>
      <c r="AB25" s="226"/>
      <c r="AC25" s="226"/>
      <c r="AD25" s="226"/>
      <c r="AE25" s="226"/>
      <c r="AF25" s="226"/>
      <c r="AG25" s="226"/>
      <c r="AH25" s="226"/>
      <c r="AI25" s="226"/>
      <c r="AJ25" s="226"/>
      <c r="AK25" s="226"/>
      <c r="AL25" s="227"/>
      <c r="AM25" s="221"/>
      <c r="AN25" s="222"/>
      <c r="AO25" s="14"/>
      <c r="AP25" s="1"/>
    </row>
    <row r="26" spans="2:42" ht="22" customHeight="1" x14ac:dyDescent="0.2">
      <c r="B26" s="212"/>
      <c r="C26" s="213"/>
      <c r="D26" s="214"/>
      <c r="E26" s="106"/>
      <c r="F26" s="1" t="s">
        <v>10</v>
      </c>
      <c r="G26" s="1"/>
      <c r="H26" s="194"/>
      <c r="I26" s="1" t="s">
        <v>29</v>
      </c>
      <c r="J26" s="194"/>
      <c r="K26" s="1" t="s">
        <v>30</v>
      </c>
      <c r="L26" s="1" t="s">
        <v>31</v>
      </c>
      <c r="M26" s="1" t="s">
        <v>10</v>
      </c>
      <c r="N26" s="1"/>
      <c r="O26" s="194"/>
      <c r="P26" s="1" t="s">
        <v>29</v>
      </c>
      <c r="Q26" s="194"/>
      <c r="R26" s="1" t="s">
        <v>30</v>
      </c>
      <c r="T26" s="193"/>
      <c r="U26" s="112"/>
      <c r="V26" s="218"/>
      <c r="W26" s="219"/>
      <c r="X26" s="219"/>
      <c r="Y26" s="219"/>
      <c r="Z26" s="219"/>
      <c r="AA26" s="219"/>
      <c r="AB26" s="219"/>
      <c r="AC26" s="219"/>
      <c r="AD26" s="219"/>
      <c r="AE26" s="219"/>
      <c r="AF26" s="219"/>
      <c r="AG26" s="219"/>
      <c r="AH26" s="219"/>
      <c r="AI26" s="219"/>
      <c r="AJ26" s="219"/>
      <c r="AK26" s="219"/>
      <c r="AL26" s="220"/>
      <c r="AM26" s="221"/>
      <c r="AN26" s="222"/>
      <c r="AO26" s="14"/>
      <c r="AP26" s="1"/>
    </row>
    <row r="27" spans="2:42" ht="6" customHeight="1" x14ac:dyDescent="0.2">
      <c r="B27" s="212"/>
      <c r="C27" s="213"/>
      <c r="D27" s="214"/>
      <c r="E27" s="106"/>
      <c r="F27" s="1"/>
      <c r="G27" s="1"/>
      <c r="H27" s="113"/>
      <c r="I27" s="1"/>
      <c r="J27" s="113"/>
      <c r="K27" s="1"/>
      <c r="L27" s="1"/>
      <c r="M27" s="1"/>
      <c r="N27" s="1"/>
      <c r="O27" s="1"/>
      <c r="P27" s="1"/>
      <c r="Q27" s="1"/>
      <c r="R27" s="1"/>
      <c r="S27" s="1"/>
      <c r="T27" s="110"/>
      <c r="U27" s="112"/>
      <c r="V27" s="112"/>
      <c r="W27" s="112"/>
      <c r="X27" s="112"/>
      <c r="Y27" s="112"/>
      <c r="Z27" s="112"/>
      <c r="AA27" s="112"/>
      <c r="AB27" s="112"/>
      <c r="AC27" s="112"/>
      <c r="AD27" s="112"/>
      <c r="AE27" s="112"/>
      <c r="AF27" s="112"/>
      <c r="AG27" s="112"/>
      <c r="AH27" s="112"/>
      <c r="AI27" s="112"/>
      <c r="AJ27" s="112"/>
      <c r="AK27" s="112"/>
      <c r="AL27" s="112"/>
      <c r="AM27" s="112"/>
      <c r="AN27" s="112"/>
      <c r="AO27" s="14"/>
      <c r="AP27" s="1"/>
    </row>
    <row r="28" spans="2:42" ht="22" customHeight="1" x14ac:dyDescent="0.2">
      <c r="B28" s="212"/>
      <c r="C28" s="213"/>
      <c r="D28" s="214"/>
      <c r="E28" s="109" t="s">
        <v>24</v>
      </c>
      <c r="F28" s="1" t="s">
        <v>32</v>
      </c>
      <c r="G28" s="1"/>
      <c r="H28" s="1"/>
      <c r="I28" s="1"/>
      <c r="J28" s="1"/>
      <c r="K28" s="1"/>
      <c r="L28" s="1"/>
      <c r="M28" s="1" t="s">
        <v>10</v>
      </c>
      <c r="N28" s="1"/>
      <c r="O28" s="194">
        <v>7</v>
      </c>
      <c r="P28" s="1" t="s">
        <v>29</v>
      </c>
      <c r="Q28" s="194">
        <v>9</v>
      </c>
      <c r="R28" s="1" t="s">
        <v>30</v>
      </c>
      <c r="T28" s="1"/>
      <c r="AO28" s="14"/>
      <c r="AP28" s="1"/>
    </row>
    <row r="29" spans="2:42" ht="6" customHeight="1" x14ac:dyDescent="0.2">
      <c r="B29" s="212"/>
      <c r="C29" s="213"/>
      <c r="D29" s="214"/>
      <c r="E29" s="106"/>
      <c r="F29" s="1"/>
      <c r="G29" s="1"/>
      <c r="H29" s="114"/>
      <c r="I29" s="1"/>
      <c r="J29" s="114"/>
      <c r="K29" s="1"/>
      <c r="L29" s="1"/>
      <c r="M29" s="1"/>
      <c r="AO29" s="14"/>
      <c r="AP29" s="1"/>
    </row>
    <row r="30" spans="2:42" ht="20.25" customHeight="1" x14ac:dyDescent="0.15">
      <c r="B30" s="212"/>
      <c r="C30" s="213"/>
      <c r="D30" s="214"/>
      <c r="E30" s="3" t="s">
        <v>24</v>
      </c>
      <c r="F30" s="1" t="s">
        <v>33</v>
      </c>
      <c r="G30" s="4"/>
      <c r="H30" s="4"/>
      <c r="I30" s="4"/>
      <c r="J30" s="4"/>
      <c r="K30" s="4"/>
      <c r="L30" s="4"/>
      <c r="AN30" s="5"/>
      <c r="AO30" s="16" t="s">
        <v>23</v>
      </c>
      <c r="AP30" s="1"/>
    </row>
    <row r="31" spans="2:42" ht="22" customHeight="1" x14ac:dyDescent="0.2">
      <c r="B31" s="212"/>
      <c r="C31" s="213"/>
      <c r="D31" s="214"/>
      <c r="E31" s="115" t="s">
        <v>34</v>
      </c>
      <c r="F31" s="1" t="s">
        <v>10</v>
      </c>
      <c r="G31" s="1"/>
      <c r="H31" s="194">
        <v>7</v>
      </c>
      <c r="I31" s="1" t="s">
        <v>29</v>
      </c>
      <c r="J31" s="194">
        <v>10</v>
      </c>
      <c r="K31" s="1" t="s">
        <v>30</v>
      </c>
      <c r="L31" s="1" t="s">
        <v>31</v>
      </c>
      <c r="M31" s="1" t="s">
        <v>10</v>
      </c>
      <c r="N31" s="1"/>
      <c r="O31" s="194"/>
      <c r="P31" s="1" t="s">
        <v>29</v>
      </c>
      <c r="Q31" s="194"/>
      <c r="R31" s="1" t="s">
        <v>30</v>
      </c>
      <c r="S31" s="1"/>
      <c r="T31" s="228" t="s">
        <v>460</v>
      </c>
      <c r="U31" s="229"/>
      <c r="V31" s="229"/>
      <c r="W31" s="229"/>
      <c r="X31" s="229"/>
      <c r="Y31" s="229"/>
      <c r="Z31" s="229"/>
      <c r="AA31" s="229"/>
      <c r="AB31" s="229"/>
      <c r="AC31" s="229"/>
      <c r="AD31" s="229"/>
      <c r="AE31" s="229"/>
      <c r="AF31" s="229"/>
      <c r="AG31" s="229"/>
      <c r="AH31" s="229"/>
      <c r="AI31" s="229"/>
      <c r="AJ31" s="229"/>
      <c r="AK31" s="229"/>
      <c r="AL31" s="230"/>
      <c r="AM31" s="221" t="s">
        <v>459</v>
      </c>
      <c r="AN31" s="222"/>
      <c r="AO31" s="14"/>
      <c r="AP31" s="1"/>
    </row>
    <row r="32" spans="2:42" ht="22" customHeight="1" x14ac:dyDescent="0.2">
      <c r="B32" s="212"/>
      <c r="C32" s="213"/>
      <c r="D32" s="214"/>
      <c r="E32" s="115" t="s">
        <v>35</v>
      </c>
      <c r="F32" s="1" t="s">
        <v>10</v>
      </c>
      <c r="G32" s="1"/>
      <c r="H32" s="194"/>
      <c r="I32" s="1" t="s">
        <v>29</v>
      </c>
      <c r="J32" s="194"/>
      <c r="K32" s="1" t="s">
        <v>30</v>
      </c>
      <c r="L32" s="1" t="s">
        <v>31</v>
      </c>
      <c r="M32" s="1" t="s">
        <v>10</v>
      </c>
      <c r="N32" s="1"/>
      <c r="O32" s="194"/>
      <c r="P32" s="1" t="s">
        <v>29</v>
      </c>
      <c r="Q32" s="194"/>
      <c r="R32" s="1" t="s">
        <v>30</v>
      </c>
      <c r="S32" s="1"/>
      <c r="T32" s="228"/>
      <c r="U32" s="229"/>
      <c r="V32" s="229"/>
      <c r="W32" s="229"/>
      <c r="X32" s="229"/>
      <c r="Y32" s="229"/>
      <c r="Z32" s="229"/>
      <c r="AA32" s="229"/>
      <c r="AB32" s="229"/>
      <c r="AC32" s="229"/>
      <c r="AD32" s="229"/>
      <c r="AE32" s="229"/>
      <c r="AF32" s="229"/>
      <c r="AG32" s="229"/>
      <c r="AH32" s="229"/>
      <c r="AI32" s="229"/>
      <c r="AJ32" s="229"/>
      <c r="AK32" s="229"/>
      <c r="AL32" s="230"/>
      <c r="AM32" s="221"/>
      <c r="AN32" s="222"/>
      <c r="AO32" s="14"/>
      <c r="AP32" s="1"/>
    </row>
    <row r="33" spans="2:42" ht="22" customHeight="1" x14ac:dyDescent="0.2">
      <c r="B33" s="212"/>
      <c r="C33" s="213"/>
      <c r="D33" s="214"/>
      <c r="E33" s="115" t="s">
        <v>36</v>
      </c>
      <c r="F33" s="1" t="s">
        <v>10</v>
      </c>
      <c r="G33" s="1"/>
      <c r="H33" s="194"/>
      <c r="I33" s="1" t="s">
        <v>29</v>
      </c>
      <c r="J33" s="194"/>
      <c r="K33" s="1" t="s">
        <v>30</v>
      </c>
      <c r="L33" s="1" t="s">
        <v>31</v>
      </c>
      <c r="M33" s="1" t="s">
        <v>10</v>
      </c>
      <c r="N33" s="1"/>
      <c r="O33" s="194"/>
      <c r="P33" s="1" t="s">
        <v>29</v>
      </c>
      <c r="Q33" s="194"/>
      <c r="R33" s="1" t="s">
        <v>30</v>
      </c>
      <c r="S33" s="1"/>
      <c r="T33" s="228"/>
      <c r="U33" s="229"/>
      <c r="V33" s="229"/>
      <c r="W33" s="229"/>
      <c r="X33" s="229"/>
      <c r="Y33" s="229"/>
      <c r="Z33" s="229"/>
      <c r="AA33" s="229"/>
      <c r="AB33" s="229"/>
      <c r="AC33" s="229"/>
      <c r="AD33" s="229"/>
      <c r="AE33" s="229"/>
      <c r="AF33" s="229"/>
      <c r="AG33" s="229"/>
      <c r="AH33" s="229"/>
      <c r="AI33" s="229"/>
      <c r="AJ33" s="229"/>
      <c r="AK33" s="229"/>
      <c r="AL33" s="230"/>
      <c r="AM33" s="221"/>
      <c r="AN33" s="222"/>
      <c r="AO33" s="14"/>
      <c r="AP33" s="1"/>
    </row>
    <row r="34" spans="2:42" ht="22" customHeight="1" x14ac:dyDescent="0.2">
      <c r="B34" s="212"/>
      <c r="C34" s="213"/>
      <c r="D34" s="214"/>
      <c r="E34" s="115" t="str">
        <f>IF(H34=0,"","4.")</f>
        <v/>
      </c>
      <c r="F34" s="1" t="str">
        <f t="shared" ref="F34:F39" si="0">IF(H34=0,"","平成")</f>
        <v/>
      </c>
      <c r="G34" s="1"/>
      <c r="H34" s="194"/>
      <c r="I34" s="1" t="str">
        <f t="shared" ref="I34:I39" si="1">IF(H34=0,"","年")</f>
        <v/>
      </c>
      <c r="J34" s="194"/>
      <c r="K34" s="1" t="str">
        <f t="shared" ref="K34:K39" si="2">IF(J34=0,"","月")</f>
        <v/>
      </c>
      <c r="L34" s="1" t="str">
        <f t="shared" ref="L34:L39" si="3">IF(J34=0,"","～")</f>
        <v/>
      </c>
      <c r="M34" s="1" t="str">
        <f t="shared" ref="M34:M39" si="4">IF(O34=0,"","平成")</f>
        <v/>
      </c>
      <c r="N34" s="1"/>
      <c r="O34" s="194"/>
      <c r="P34" s="1" t="str">
        <f t="shared" ref="P34:P39" si="5">IF(O34=0,"","年")</f>
        <v/>
      </c>
      <c r="Q34" s="194"/>
      <c r="R34" s="1" t="str">
        <f t="shared" ref="R34:R39" si="6">IF(Q34=0,"","月")</f>
        <v/>
      </c>
      <c r="S34" s="1"/>
      <c r="T34" s="228"/>
      <c r="U34" s="229"/>
      <c r="V34" s="229"/>
      <c r="W34" s="229"/>
      <c r="X34" s="229"/>
      <c r="Y34" s="229"/>
      <c r="Z34" s="229"/>
      <c r="AA34" s="229"/>
      <c r="AB34" s="229"/>
      <c r="AC34" s="229"/>
      <c r="AD34" s="229"/>
      <c r="AE34" s="229"/>
      <c r="AF34" s="229"/>
      <c r="AG34" s="229"/>
      <c r="AH34" s="229"/>
      <c r="AI34" s="229"/>
      <c r="AJ34" s="229"/>
      <c r="AK34" s="229"/>
      <c r="AL34" s="230"/>
      <c r="AM34" s="221"/>
      <c r="AN34" s="222"/>
      <c r="AO34" s="14"/>
      <c r="AP34" s="1"/>
    </row>
    <row r="35" spans="2:42" ht="22" customHeight="1" x14ac:dyDescent="0.2">
      <c r="B35" s="212"/>
      <c r="C35" s="213"/>
      <c r="D35" s="214"/>
      <c r="E35" s="115" t="str">
        <f>IF(H35=0,"","5.")</f>
        <v/>
      </c>
      <c r="F35" s="1" t="str">
        <f t="shared" si="0"/>
        <v/>
      </c>
      <c r="G35" s="1"/>
      <c r="H35" s="194"/>
      <c r="I35" s="1" t="str">
        <f t="shared" si="1"/>
        <v/>
      </c>
      <c r="J35" s="194"/>
      <c r="K35" s="1" t="str">
        <f t="shared" si="2"/>
        <v/>
      </c>
      <c r="L35" s="1" t="str">
        <f t="shared" si="3"/>
        <v/>
      </c>
      <c r="M35" s="1" t="str">
        <f t="shared" si="4"/>
        <v/>
      </c>
      <c r="N35" s="1"/>
      <c r="O35" s="194"/>
      <c r="P35" s="1" t="str">
        <f t="shared" si="5"/>
        <v/>
      </c>
      <c r="Q35" s="194"/>
      <c r="R35" s="1" t="str">
        <f t="shared" si="6"/>
        <v/>
      </c>
      <c r="S35" s="1"/>
      <c r="T35" s="228"/>
      <c r="U35" s="229"/>
      <c r="V35" s="229"/>
      <c r="W35" s="229"/>
      <c r="X35" s="229"/>
      <c r="Y35" s="229"/>
      <c r="Z35" s="229"/>
      <c r="AA35" s="229"/>
      <c r="AB35" s="229"/>
      <c r="AC35" s="229"/>
      <c r="AD35" s="229"/>
      <c r="AE35" s="229"/>
      <c r="AF35" s="229"/>
      <c r="AG35" s="229"/>
      <c r="AH35" s="229"/>
      <c r="AI35" s="229"/>
      <c r="AJ35" s="229"/>
      <c r="AK35" s="229"/>
      <c r="AL35" s="230"/>
      <c r="AM35" s="221"/>
      <c r="AN35" s="222"/>
      <c r="AO35" s="14"/>
      <c r="AP35" s="1"/>
    </row>
    <row r="36" spans="2:42" ht="22" customHeight="1" x14ac:dyDescent="0.2">
      <c r="B36" s="212"/>
      <c r="C36" s="213"/>
      <c r="D36" s="214"/>
      <c r="E36" s="115" t="str">
        <f>IF(H36=0,"","6.")</f>
        <v/>
      </c>
      <c r="F36" s="1" t="str">
        <f t="shared" si="0"/>
        <v/>
      </c>
      <c r="G36" s="1"/>
      <c r="H36" s="194"/>
      <c r="I36" s="1" t="str">
        <f t="shared" si="1"/>
        <v/>
      </c>
      <c r="J36" s="194"/>
      <c r="K36" s="1" t="str">
        <f t="shared" si="2"/>
        <v/>
      </c>
      <c r="L36" s="1" t="str">
        <f t="shared" si="3"/>
        <v/>
      </c>
      <c r="M36" s="1" t="str">
        <f t="shared" si="4"/>
        <v/>
      </c>
      <c r="N36" s="1"/>
      <c r="O36" s="194"/>
      <c r="P36" s="1" t="str">
        <f t="shared" si="5"/>
        <v/>
      </c>
      <c r="Q36" s="194"/>
      <c r="R36" s="1" t="str">
        <f t="shared" si="6"/>
        <v/>
      </c>
      <c r="S36" s="1"/>
      <c r="T36" s="228"/>
      <c r="U36" s="229"/>
      <c r="V36" s="229"/>
      <c r="W36" s="229"/>
      <c r="X36" s="229"/>
      <c r="Y36" s="229"/>
      <c r="Z36" s="229"/>
      <c r="AA36" s="229"/>
      <c r="AB36" s="229"/>
      <c r="AC36" s="229"/>
      <c r="AD36" s="229"/>
      <c r="AE36" s="229"/>
      <c r="AF36" s="229"/>
      <c r="AG36" s="229"/>
      <c r="AH36" s="229"/>
      <c r="AI36" s="229"/>
      <c r="AJ36" s="229"/>
      <c r="AK36" s="229"/>
      <c r="AL36" s="230"/>
      <c r="AM36" s="221"/>
      <c r="AN36" s="222"/>
      <c r="AO36" s="14"/>
      <c r="AP36" s="1"/>
    </row>
    <row r="37" spans="2:42" ht="22" customHeight="1" x14ac:dyDescent="0.2">
      <c r="B37" s="212"/>
      <c r="C37" s="213"/>
      <c r="D37" s="214"/>
      <c r="E37" s="115" t="str">
        <f>IF(H37=0,"","7.")</f>
        <v/>
      </c>
      <c r="F37" s="1" t="str">
        <f t="shared" si="0"/>
        <v/>
      </c>
      <c r="G37" s="1"/>
      <c r="H37" s="194"/>
      <c r="I37" s="1" t="str">
        <f t="shared" si="1"/>
        <v/>
      </c>
      <c r="J37" s="194"/>
      <c r="K37" s="1" t="str">
        <f t="shared" si="2"/>
        <v/>
      </c>
      <c r="L37" s="1" t="str">
        <f t="shared" si="3"/>
        <v/>
      </c>
      <c r="M37" s="1" t="str">
        <f t="shared" si="4"/>
        <v/>
      </c>
      <c r="N37" s="1"/>
      <c r="O37" s="194"/>
      <c r="P37" s="1" t="str">
        <f t="shared" si="5"/>
        <v/>
      </c>
      <c r="Q37" s="194"/>
      <c r="R37" s="1" t="str">
        <f t="shared" si="6"/>
        <v/>
      </c>
      <c r="S37" s="1"/>
      <c r="T37" s="228"/>
      <c r="U37" s="229"/>
      <c r="V37" s="229"/>
      <c r="W37" s="229"/>
      <c r="X37" s="229"/>
      <c r="Y37" s="229"/>
      <c r="Z37" s="229"/>
      <c r="AA37" s="229"/>
      <c r="AB37" s="229"/>
      <c r="AC37" s="229"/>
      <c r="AD37" s="229"/>
      <c r="AE37" s="229"/>
      <c r="AF37" s="229"/>
      <c r="AG37" s="229"/>
      <c r="AH37" s="229"/>
      <c r="AI37" s="229"/>
      <c r="AJ37" s="229"/>
      <c r="AK37" s="229"/>
      <c r="AL37" s="230"/>
      <c r="AM37" s="221"/>
      <c r="AN37" s="222"/>
      <c r="AO37" s="14"/>
      <c r="AP37" s="1"/>
    </row>
    <row r="38" spans="2:42" ht="22" customHeight="1" x14ac:dyDescent="0.2">
      <c r="B38" s="212"/>
      <c r="C38" s="213"/>
      <c r="D38" s="214"/>
      <c r="E38" s="115" t="str">
        <f>IF(H38=0,"","8.")</f>
        <v/>
      </c>
      <c r="F38" s="1" t="str">
        <f t="shared" si="0"/>
        <v/>
      </c>
      <c r="G38" s="1"/>
      <c r="H38" s="194"/>
      <c r="I38" s="1" t="str">
        <f t="shared" si="1"/>
        <v/>
      </c>
      <c r="J38" s="194"/>
      <c r="K38" s="1" t="str">
        <f t="shared" si="2"/>
        <v/>
      </c>
      <c r="L38" s="1" t="str">
        <f t="shared" si="3"/>
        <v/>
      </c>
      <c r="M38" s="1" t="str">
        <f t="shared" si="4"/>
        <v/>
      </c>
      <c r="N38" s="1"/>
      <c r="O38" s="194"/>
      <c r="P38" s="1" t="str">
        <f t="shared" si="5"/>
        <v/>
      </c>
      <c r="Q38" s="194"/>
      <c r="R38" s="1" t="str">
        <f t="shared" si="6"/>
        <v/>
      </c>
      <c r="S38" s="1"/>
      <c r="T38" s="228"/>
      <c r="U38" s="229"/>
      <c r="V38" s="229"/>
      <c r="W38" s="229"/>
      <c r="X38" s="229"/>
      <c r="Y38" s="229"/>
      <c r="Z38" s="229"/>
      <c r="AA38" s="229"/>
      <c r="AB38" s="229"/>
      <c r="AC38" s="229"/>
      <c r="AD38" s="229"/>
      <c r="AE38" s="229"/>
      <c r="AF38" s="229"/>
      <c r="AG38" s="229"/>
      <c r="AH38" s="229"/>
      <c r="AI38" s="229"/>
      <c r="AJ38" s="229"/>
      <c r="AK38" s="229"/>
      <c r="AL38" s="230"/>
      <c r="AM38" s="221"/>
      <c r="AN38" s="222"/>
      <c r="AO38" s="14"/>
      <c r="AP38" s="1"/>
    </row>
    <row r="39" spans="2:42" ht="22" customHeight="1" x14ac:dyDescent="0.2">
      <c r="B39" s="212"/>
      <c r="C39" s="213"/>
      <c r="D39" s="214"/>
      <c r="E39" s="115" t="str">
        <f>IF(H39=0,"","9.")</f>
        <v/>
      </c>
      <c r="F39" s="1" t="str">
        <f t="shared" si="0"/>
        <v/>
      </c>
      <c r="G39" s="1"/>
      <c r="H39" s="194"/>
      <c r="I39" s="1" t="str">
        <f t="shared" si="1"/>
        <v/>
      </c>
      <c r="J39" s="194"/>
      <c r="K39" s="1" t="str">
        <f t="shared" si="2"/>
        <v/>
      </c>
      <c r="L39" s="1" t="str">
        <f t="shared" si="3"/>
        <v/>
      </c>
      <c r="M39" s="1" t="str">
        <f t="shared" si="4"/>
        <v/>
      </c>
      <c r="N39" s="1"/>
      <c r="O39" s="194"/>
      <c r="P39" s="1" t="str">
        <f t="shared" si="5"/>
        <v/>
      </c>
      <c r="Q39" s="194"/>
      <c r="R39" s="1" t="str">
        <f t="shared" si="6"/>
        <v/>
      </c>
      <c r="S39" s="1"/>
      <c r="T39" s="228"/>
      <c r="U39" s="229"/>
      <c r="V39" s="229"/>
      <c r="W39" s="229"/>
      <c r="X39" s="229"/>
      <c r="Y39" s="229"/>
      <c r="Z39" s="229"/>
      <c r="AA39" s="229"/>
      <c r="AB39" s="229"/>
      <c r="AC39" s="229"/>
      <c r="AD39" s="229"/>
      <c r="AE39" s="229"/>
      <c r="AF39" s="229"/>
      <c r="AG39" s="229"/>
      <c r="AH39" s="229"/>
      <c r="AI39" s="229"/>
      <c r="AJ39" s="229"/>
      <c r="AK39" s="229"/>
      <c r="AL39" s="230"/>
      <c r="AM39" s="221"/>
      <c r="AN39" s="222"/>
      <c r="AO39" s="14"/>
      <c r="AP39" s="1"/>
    </row>
    <row r="40" spans="2:42" ht="6" customHeight="1" x14ac:dyDescent="0.2">
      <c r="B40" s="212"/>
      <c r="C40" s="213"/>
      <c r="D40" s="214"/>
      <c r="E40" s="106"/>
      <c r="AO40" s="14"/>
      <c r="AP40" s="1"/>
    </row>
    <row r="41" spans="2:42" ht="6" customHeight="1" x14ac:dyDescent="0.2">
      <c r="B41" s="215"/>
      <c r="C41" s="216"/>
      <c r="D41" s="217"/>
      <c r="E41" s="116"/>
      <c r="F41" s="117"/>
      <c r="G41" s="117"/>
      <c r="H41" s="117"/>
      <c r="I41" s="117"/>
      <c r="J41" s="117"/>
      <c r="K41" s="117"/>
      <c r="L41" s="117"/>
      <c r="M41" s="117"/>
      <c r="N41" s="117"/>
      <c r="O41" s="117"/>
      <c r="P41" s="117"/>
      <c r="Q41" s="117"/>
      <c r="R41" s="117"/>
      <c r="S41" s="117"/>
      <c r="T41" s="118"/>
      <c r="U41" s="118"/>
      <c r="V41" s="118"/>
      <c r="W41" s="118"/>
      <c r="X41" s="118"/>
      <c r="Y41" s="117"/>
      <c r="Z41" s="117"/>
      <c r="AA41" s="117"/>
      <c r="AB41" s="117"/>
      <c r="AC41" s="117"/>
      <c r="AD41" s="117"/>
      <c r="AE41" s="117"/>
      <c r="AF41" s="117"/>
      <c r="AG41" s="117"/>
      <c r="AH41" s="117"/>
      <c r="AI41" s="117"/>
      <c r="AJ41" s="117"/>
      <c r="AK41" s="117"/>
      <c r="AL41" s="117"/>
      <c r="AM41" s="117"/>
      <c r="AN41" s="117"/>
      <c r="AO41" s="119"/>
      <c r="AP41" s="1"/>
    </row>
    <row r="42" spans="2:42" ht="15" customHeight="1" x14ac:dyDescent="0.2">
      <c r="B42" s="215"/>
      <c r="C42" s="216"/>
      <c r="D42" s="217"/>
      <c r="E42" s="120" t="s">
        <v>37</v>
      </c>
      <c r="F42" s="1"/>
      <c r="G42" s="1"/>
      <c r="H42" s="1"/>
      <c r="I42" s="1"/>
      <c r="J42" s="1"/>
      <c r="K42" s="1"/>
      <c r="L42" s="1"/>
      <c r="M42" s="1"/>
      <c r="N42" s="1"/>
      <c r="O42" s="1"/>
      <c r="P42" s="1"/>
      <c r="Q42" s="1"/>
      <c r="R42" s="1"/>
      <c r="S42" s="1"/>
      <c r="T42" s="108"/>
      <c r="U42" s="108"/>
      <c r="V42" s="108"/>
      <c r="W42" s="108"/>
      <c r="X42" s="108"/>
      <c r="Y42" s="1"/>
      <c r="Z42" s="1"/>
      <c r="AA42" s="1"/>
      <c r="AB42" s="1"/>
      <c r="AC42" s="1"/>
      <c r="AD42" s="1"/>
      <c r="AE42" s="1"/>
      <c r="AF42" s="1"/>
      <c r="AG42" s="1"/>
      <c r="AH42" s="1"/>
      <c r="AI42" s="1"/>
      <c r="AJ42" s="1"/>
      <c r="AK42" s="1"/>
      <c r="AL42" s="1"/>
      <c r="AM42" s="1"/>
      <c r="AN42" s="1"/>
      <c r="AO42" s="14"/>
      <c r="AP42" s="1"/>
    </row>
    <row r="43" spans="2:42" ht="15" customHeight="1" x14ac:dyDescent="0.2">
      <c r="B43" s="215"/>
      <c r="C43" s="216"/>
      <c r="D43" s="217"/>
      <c r="E43" s="1" t="s">
        <v>27</v>
      </c>
      <c r="F43" s="1" t="s">
        <v>38</v>
      </c>
      <c r="G43" s="1"/>
      <c r="H43" s="1"/>
      <c r="I43" s="1"/>
      <c r="J43" s="1"/>
      <c r="K43" s="1"/>
      <c r="L43" s="1"/>
      <c r="M43" s="1"/>
      <c r="N43" s="1"/>
      <c r="O43" s="1"/>
      <c r="P43" s="1"/>
      <c r="Q43" s="1"/>
      <c r="R43" s="1"/>
      <c r="S43" s="1"/>
      <c r="T43" s="121"/>
      <c r="U43" s="121"/>
      <c r="V43" s="121"/>
      <c r="W43" s="121"/>
      <c r="X43" s="121"/>
      <c r="Y43" s="1"/>
      <c r="Z43" s="1"/>
      <c r="AA43" s="1"/>
      <c r="AB43" s="1"/>
      <c r="AC43" s="1"/>
      <c r="AD43" s="1"/>
      <c r="AE43" s="1"/>
      <c r="AF43" s="1"/>
      <c r="AG43" s="1"/>
      <c r="AH43" s="1"/>
      <c r="AI43" s="1"/>
      <c r="AJ43" s="1"/>
      <c r="AK43" s="1"/>
      <c r="AL43" s="1"/>
      <c r="AM43" s="1"/>
      <c r="AN43" s="1"/>
      <c r="AO43" s="14"/>
      <c r="AP43" s="1"/>
    </row>
    <row r="44" spans="2:42" ht="15" customHeight="1" x14ac:dyDescent="0.2">
      <c r="B44" s="215"/>
      <c r="C44" s="216"/>
      <c r="D44" s="217"/>
      <c r="E44" s="1" t="s">
        <v>27</v>
      </c>
      <c r="F44" s="1" t="s">
        <v>39</v>
      </c>
      <c r="G44" s="1"/>
      <c r="H44" s="1"/>
      <c r="I44" s="1"/>
      <c r="J44" s="1"/>
      <c r="K44" s="1"/>
      <c r="L44" s="1"/>
      <c r="M44" s="1"/>
      <c r="N44" s="1"/>
      <c r="O44" s="1"/>
      <c r="P44" s="1"/>
      <c r="Q44" s="1"/>
      <c r="R44" s="1"/>
      <c r="S44" s="1"/>
      <c r="T44" s="121"/>
      <c r="U44" s="121"/>
      <c r="V44" s="121"/>
      <c r="W44" s="121"/>
      <c r="X44" s="121"/>
      <c r="Y44" s="1"/>
      <c r="Z44" s="1"/>
      <c r="AA44" s="1"/>
      <c r="AB44" s="1"/>
      <c r="AC44" s="1"/>
      <c r="AD44" s="1"/>
      <c r="AE44" s="1"/>
      <c r="AF44" s="1"/>
      <c r="AG44" s="1"/>
      <c r="AH44" s="1"/>
      <c r="AI44" s="1"/>
      <c r="AJ44" s="1"/>
      <c r="AK44" s="1"/>
      <c r="AL44" s="1"/>
      <c r="AM44" s="1"/>
      <c r="AN44" s="1"/>
      <c r="AO44" s="14"/>
      <c r="AP44" s="1"/>
    </row>
    <row r="45" spans="2:42" ht="15" customHeight="1" x14ac:dyDescent="0.2">
      <c r="B45" s="215"/>
      <c r="C45" s="216"/>
      <c r="D45" s="217"/>
      <c r="E45" s="1" t="s">
        <v>27</v>
      </c>
      <c r="F45" s="1" t="s">
        <v>40</v>
      </c>
      <c r="G45" s="1"/>
      <c r="H45" s="1"/>
      <c r="I45" s="1"/>
      <c r="J45" s="1"/>
      <c r="K45" s="1"/>
      <c r="L45" s="1"/>
      <c r="M45" s="1"/>
      <c r="N45" s="1"/>
      <c r="O45" s="1"/>
      <c r="P45" s="1"/>
      <c r="Q45" s="1"/>
      <c r="R45" s="1"/>
      <c r="S45" s="1"/>
      <c r="T45" s="121"/>
      <c r="U45" s="121"/>
      <c r="V45" s="121"/>
      <c r="W45" s="121"/>
      <c r="X45" s="121"/>
      <c r="Y45" s="1"/>
      <c r="Z45" s="1"/>
      <c r="AA45" s="1"/>
      <c r="AB45" s="1"/>
      <c r="AC45" s="1"/>
      <c r="AD45" s="1"/>
      <c r="AE45" s="1"/>
      <c r="AF45" s="1"/>
      <c r="AG45" s="1"/>
      <c r="AH45" s="1"/>
      <c r="AI45" s="1"/>
      <c r="AJ45" s="1"/>
      <c r="AK45" s="1"/>
      <c r="AL45" s="1"/>
      <c r="AM45" s="1"/>
      <c r="AN45" s="1"/>
      <c r="AO45" s="14"/>
      <c r="AP45" s="1"/>
    </row>
    <row r="46" spans="2:42" ht="15" customHeight="1" x14ac:dyDescent="0.2">
      <c r="B46" s="215"/>
      <c r="C46" s="216"/>
      <c r="D46" s="217"/>
      <c r="E46" s="1" t="s">
        <v>27</v>
      </c>
      <c r="F46" s="1" t="s">
        <v>41</v>
      </c>
      <c r="G46" s="1"/>
      <c r="H46" s="1"/>
      <c r="I46" s="1"/>
      <c r="J46" s="1"/>
      <c r="K46" s="1"/>
      <c r="L46" s="1"/>
      <c r="M46" s="1"/>
      <c r="N46" s="1"/>
      <c r="O46" s="1"/>
      <c r="P46" s="1"/>
      <c r="Q46" s="1"/>
      <c r="R46" s="1"/>
      <c r="S46" s="1"/>
      <c r="T46" s="121"/>
      <c r="U46" s="121"/>
      <c r="V46" s="121"/>
      <c r="W46" s="121"/>
      <c r="X46" s="121"/>
      <c r="Y46" s="1"/>
      <c r="Z46" s="1"/>
      <c r="AA46" s="1"/>
      <c r="AB46" s="1"/>
      <c r="AC46" s="1"/>
      <c r="AD46" s="1"/>
      <c r="AE46" s="1"/>
      <c r="AF46" s="1"/>
      <c r="AG46" s="1"/>
      <c r="AH46" s="1"/>
      <c r="AI46" s="1"/>
      <c r="AJ46" s="1"/>
      <c r="AK46" s="1"/>
      <c r="AL46" s="1"/>
      <c r="AM46" s="1"/>
      <c r="AN46" s="1"/>
      <c r="AO46" s="14"/>
      <c r="AP46" s="1"/>
    </row>
    <row r="47" spans="2:42" ht="15" customHeight="1" x14ac:dyDescent="0.2">
      <c r="B47" s="215"/>
      <c r="C47" s="216"/>
      <c r="D47" s="217"/>
      <c r="E47" s="1" t="s">
        <v>42</v>
      </c>
      <c r="F47" s="1" t="s">
        <v>43</v>
      </c>
      <c r="G47" s="1"/>
      <c r="H47" s="1"/>
      <c r="I47" s="1"/>
      <c r="J47" s="1"/>
      <c r="K47" s="1"/>
      <c r="L47" s="1"/>
      <c r="M47" s="1"/>
      <c r="N47" s="1"/>
      <c r="O47" s="1"/>
      <c r="P47" s="1"/>
      <c r="Q47" s="1"/>
      <c r="R47" s="1"/>
      <c r="S47" s="1"/>
      <c r="T47" s="121"/>
      <c r="U47" s="121"/>
      <c r="V47" s="121"/>
      <c r="W47" s="121"/>
      <c r="X47" s="121"/>
      <c r="Y47" s="1"/>
      <c r="Z47" s="1"/>
      <c r="AA47" s="1"/>
      <c r="AB47" s="1"/>
      <c r="AC47" s="1"/>
      <c r="AD47" s="1"/>
      <c r="AE47" s="1"/>
      <c r="AF47" s="1"/>
      <c r="AG47" s="1"/>
      <c r="AH47" s="1"/>
      <c r="AI47" s="1"/>
      <c r="AJ47" s="1"/>
      <c r="AK47" s="1"/>
      <c r="AL47" s="1"/>
      <c r="AM47" s="1"/>
      <c r="AN47" s="1"/>
      <c r="AO47" s="14"/>
      <c r="AP47" s="1"/>
    </row>
    <row r="48" spans="2:42" ht="6" customHeight="1" x14ac:dyDescent="0.2">
      <c r="B48" s="215"/>
      <c r="C48" s="216"/>
      <c r="D48" s="217"/>
      <c r="E48" s="1"/>
      <c r="F48" s="1"/>
      <c r="G48" s="1"/>
      <c r="H48" s="1"/>
      <c r="I48" s="1"/>
      <c r="J48" s="1"/>
      <c r="K48" s="1"/>
      <c r="L48" s="1"/>
      <c r="M48" s="1"/>
      <c r="N48" s="1"/>
      <c r="O48" s="1"/>
      <c r="P48" s="1"/>
      <c r="Q48" s="1"/>
      <c r="R48" s="1"/>
      <c r="S48" s="1"/>
      <c r="T48" s="121"/>
      <c r="U48" s="121"/>
      <c r="V48" s="121"/>
      <c r="W48" s="121"/>
      <c r="X48" s="121"/>
      <c r="Y48" s="1"/>
      <c r="Z48" s="1"/>
      <c r="AA48" s="1"/>
      <c r="AB48" s="1"/>
      <c r="AC48" s="1"/>
      <c r="AD48" s="1"/>
      <c r="AE48" s="1"/>
      <c r="AF48" s="1"/>
      <c r="AG48" s="1"/>
      <c r="AH48" s="1"/>
      <c r="AI48" s="1"/>
      <c r="AJ48" s="1"/>
      <c r="AK48" s="1"/>
      <c r="AL48" s="1"/>
      <c r="AM48" s="1"/>
      <c r="AN48" s="1"/>
      <c r="AO48" s="14"/>
      <c r="AP48" s="1"/>
    </row>
    <row r="49" spans="2:43" ht="15" customHeight="1" x14ac:dyDescent="0.2">
      <c r="B49" s="215"/>
      <c r="C49" s="216"/>
      <c r="D49" s="217"/>
      <c r="E49" s="1" t="s">
        <v>44</v>
      </c>
      <c r="AM49" s="1"/>
      <c r="AN49" s="1"/>
      <c r="AO49" s="14"/>
      <c r="AP49" s="1"/>
    </row>
    <row r="50" spans="2:43" ht="15" customHeight="1" x14ac:dyDescent="0.2">
      <c r="B50" s="215"/>
      <c r="C50" s="216"/>
      <c r="D50" s="217"/>
      <c r="E50" s="115" t="s">
        <v>34</v>
      </c>
      <c r="F50" s="1" t="s">
        <v>10</v>
      </c>
      <c r="G50" s="1"/>
      <c r="H50" s="1">
        <v>4</v>
      </c>
      <c r="I50" s="1" t="s">
        <v>29</v>
      </c>
      <c r="J50" s="1">
        <v>4</v>
      </c>
      <c r="K50" s="1" t="s">
        <v>30</v>
      </c>
      <c r="L50" s="1" t="s">
        <v>31</v>
      </c>
      <c r="M50" s="1" t="s">
        <v>10</v>
      </c>
      <c r="N50" s="1"/>
      <c r="O50" s="1">
        <v>6</v>
      </c>
      <c r="P50" s="1" t="s">
        <v>29</v>
      </c>
      <c r="Q50" s="1">
        <v>3</v>
      </c>
      <c r="R50" s="1" t="s">
        <v>30</v>
      </c>
      <c r="S50" s="1"/>
      <c r="T50" s="121" t="s">
        <v>45</v>
      </c>
      <c r="U50" s="121"/>
      <c r="V50" s="121"/>
      <c r="W50" s="121"/>
      <c r="X50" s="121"/>
      <c r="Y50" s="1"/>
      <c r="Z50" s="1"/>
      <c r="AA50" s="1"/>
      <c r="AB50" s="1"/>
      <c r="AC50" s="1"/>
      <c r="AD50" s="1"/>
      <c r="AE50" s="1"/>
      <c r="AF50" s="1"/>
      <c r="AG50" s="1"/>
      <c r="AJ50" s="1" t="s">
        <v>46</v>
      </c>
      <c r="AM50" s="1"/>
      <c r="AN50" s="1"/>
      <c r="AO50" s="14"/>
      <c r="AP50" s="1"/>
    </row>
    <row r="51" spans="2:43" ht="15" customHeight="1" x14ac:dyDescent="0.2">
      <c r="B51" s="215"/>
      <c r="C51" s="216"/>
      <c r="D51" s="217"/>
      <c r="E51" s="115" t="s">
        <v>35</v>
      </c>
      <c r="F51" s="1" t="s">
        <v>10</v>
      </c>
      <c r="G51" s="1"/>
      <c r="H51" s="1">
        <v>6</v>
      </c>
      <c r="I51" s="1" t="s">
        <v>29</v>
      </c>
      <c r="J51" s="1">
        <v>4</v>
      </c>
      <c r="K51" s="1" t="s">
        <v>30</v>
      </c>
      <c r="L51" s="1" t="s">
        <v>31</v>
      </c>
      <c r="M51" s="1" t="s">
        <v>10</v>
      </c>
      <c r="N51" s="1"/>
      <c r="O51" s="1">
        <v>9</v>
      </c>
      <c r="P51" s="1" t="s">
        <v>29</v>
      </c>
      <c r="Q51" s="1">
        <v>3</v>
      </c>
      <c r="R51" s="1" t="s">
        <v>30</v>
      </c>
      <c r="S51" s="1"/>
      <c r="T51" s="121" t="s">
        <v>47</v>
      </c>
      <c r="U51" s="121"/>
      <c r="V51" s="121"/>
      <c r="W51" s="121"/>
      <c r="X51" s="121"/>
      <c r="Y51" s="1"/>
      <c r="Z51" s="1"/>
      <c r="AA51" s="1"/>
      <c r="AB51" s="1"/>
      <c r="AC51" s="1"/>
      <c r="AD51" s="1"/>
      <c r="AE51" s="1"/>
      <c r="AF51" s="1"/>
      <c r="AG51" s="1"/>
      <c r="AJ51" s="1" t="s">
        <v>48</v>
      </c>
      <c r="AK51" s="1"/>
      <c r="AL51" s="1"/>
      <c r="AM51" s="1"/>
      <c r="AN51" s="1"/>
      <c r="AO51" s="14"/>
      <c r="AP51" s="1"/>
    </row>
    <row r="52" spans="2:43" ht="13.5" customHeight="1" x14ac:dyDescent="0.2">
      <c r="B52" s="215"/>
      <c r="C52" s="216"/>
      <c r="D52" s="217"/>
      <c r="E52" s="115" t="s">
        <v>36</v>
      </c>
      <c r="F52" s="1" t="s">
        <v>10</v>
      </c>
      <c r="G52" s="1"/>
      <c r="H52" s="1">
        <v>9</v>
      </c>
      <c r="I52" s="1" t="s">
        <v>29</v>
      </c>
      <c r="J52" s="1">
        <v>4</v>
      </c>
      <c r="K52" s="1" t="s">
        <v>30</v>
      </c>
      <c r="L52" s="1" t="s">
        <v>31</v>
      </c>
      <c r="M52" s="1"/>
      <c r="N52" s="1"/>
      <c r="O52" s="1"/>
      <c r="P52" s="1"/>
      <c r="Q52" s="1"/>
      <c r="R52" s="1"/>
      <c r="S52" s="1"/>
      <c r="T52" s="121" t="s">
        <v>49</v>
      </c>
      <c r="U52" s="121"/>
      <c r="V52" s="121"/>
      <c r="W52" s="121"/>
      <c r="X52" s="121"/>
      <c r="Y52" s="1"/>
      <c r="Z52" s="1"/>
      <c r="AA52" s="1"/>
      <c r="AB52" s="1"/>
      <c r="AC52" s="1"/>
      <c r="AD52" s="1"/>
      <c r="AE52" s="1"/>
      <c r="AF52" s="1"/>
      <c r="AG52" s="1"/>
      <c r="AJ52" s="1" t="s">
        <v>50</v>
      </c>
      <c r="AK52" s="1"/>
      <c r="AL52" s="1"/>
      <c r="AM52" s="1"/>
      <c r="AN52" s="1"/>
      <c r="AO52" s="14"/>
      <c r="AP52" s="1"/>
    </row>
    <row r="53" spans="2:43" ht="6" customHeight="1" x14ac:dyDescent="0.2">
      <c r="B53" s="215"/>
      <c r="C53" s="216"/>
      <c r="D53" s="217"/>
      <c r="E53" s="1"/>
      <c r="F53" s="1"/>
      <c r="G53" s="1"/>
      <c r="H53" s="1"/>
      <c r="I53" s="1"/>
      <c r="J53" s="1"/>
      <c r="K53" s="1"/>
      <c r="L53" s="1"/>
      <c r="M53" s="1"/>
      <c r="N53" s="1"/>
      <c r="O53" s="1"/>
      <c r="P53" s="1"/>
      <c r="Q53" s="1"/>
      <c r="R53" s="1"/>
      <c r="S53" s="1"/>
      <c r="T53" s="121"/>
      <c r="U53" s="121"/>
      <c r="V53" s="121"/>
      <c r="W53" s="121"/>
      <c r="X53" s="121"/>
      <c r="Y53" s="1"/>
      <c r="Z53" s="1"/>
      <c r="AA53" s="1"/>
      <c r="AB53" s="1"/>
      <c r="AC53" s="1"/>
      <c r="AD53" s="1"/>
      <c r="AE53" s="1"/>
      <c r="AF53" s="1"/>
      <c r="AG53" s="1"/>
      <c r="AH53" s="1"/>
      <c r="AI53" s="1"/>
      <c r="AJ53" s="1"/>
      <c r="AK53" s="1"/>
      <c r="AL53" s="1"/>
      <c r="AM53" s="1"/>
      <c r="AN53" s="1"/>
      <c r="AO53" s="14"/>
      <c r="AP53" s="1"/>
    </row>
    <row r="54" spans="2:43" x14ac:dyDescent="0.2">
      <c r="B54" s="122"/>
      <c r="C54" s="122"/>
      <c r="D54" s="122" t="s">
        <v>51</v>
      </c>
      <c r="E54" s="122"/>
      <c r="F54" s="122"/>
      <c r="G54" s="122"/>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4"/>
      <c r="AM54" s="124"/>
      <c r="AN54" s="122"/>
      <c r="AO54" s="122"/>
      <c r="AP54" s="1"/>
    </row>
    <row r="55" spans="2:43" ht="6" customHeight="1" x14ac:dyDescent="0.2">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row>
    <row r="56" spans="2:43" ht="12" customHeight="1" x14ac:dyDescent="0.2">
      <c r="B56" s="231" t="str">
        <f>$B$1</f>
        <v>e-mail：kaitoku@jsps.go.jp</v>
      </c>
      <c r="C56" s="231"/>
      <c r="D56" s="231"/>
      <c r="E56" s="231"/>
      <c r="F56" s="231"/>
      <c r="G56" s="231"/>
      <c r="H56" s="231"/>
      <c r="I56" s="231"/>
      <c r="J56" s="231"/>
      <c r="K56" s="231"/>
      <c r="L56" s="231"/>
      <c r="M56" s="231"/>
      <c r="N56" s="231"/>
      <c r="O56" s="216"/>
      <c r="P56" s="216"/>
      <c r="Q56" s="216"/>
      <c r="R56" s="216"/>
      <c r="S56" s="1"/>
      <c r="T56" s="1"/>
      <c r="U56" s="1"/>
      <c r="V56" s="1"/>
      <c r="W56" s="1"/>
      <c r="X56" s="1"/>
      <c r="Y56" s="1"/>
      <c r="Z56" s="1"/>
      <c r="AA56" s="83"/>
      <c r="AB56" s="83"/>
      <c r="AC56" s="237" t="str">
        <f>$AC$1</f>
        <v>令和　　　7年　　　12月　　　12日</v>
      </c>
      <c r="AD56" s="237"/>
      <c r="AE56" s="237"/>
      <c r="AF56" s="237"/>
      <c r="AG56" s="237"/>
      <c r="AH56" s="237"/>
      <c r="AI56" s="237"/>
      <c r="AJ56" s="237"/>
      <c r="AK56" s="237"/>
      <c r="AL56" s="237"/>
      <c r="AM56" s="237"/>
      <c r="AN56" s="195"/>
      <c r="AO56" s="196" t="s">
        <v>1</v>
      </c>
      <c r="AP56" s="1"/>
    </row>
    <row r="57" spans="2:43" ht="12" customHeight="1" x14ac:dyDescent="0.2">
      <c r="B57" s="231" t="str">
        <f>$B$2</f>
        <v>日本学術振興会 海外特別研究員担当 宛</v>
      </c>
      <c r="C57" s="231"/>
      <c r="D57" s="231"/>
      <c r="E57" s="231"/>
      <c r="F57" s="231"/>
      <c r="G57" s="231"/>
      <c r="H57" s="231"/>
      <c r="I57" s="231"/>
      <c r="J57" s="231"/>
      <c r="K57" s="231"/>
      <c r="L57" s="231"/>
      <c r="M57" s="231"/>
      <c r="N57" s="231"/>
      <c r="O57" s="216"/>
      <c r="P57" s="216"/>
      <c r="Q57" s="216"/>
      <c r="R57" s="216"/>
      <c r="S57" s="1"/>
      <c r="T57" s="1"/>
      <c r="U57" s="1"/>
      <c r="V57" s="1"/>
      <c r="W57" s="1"/>
      <c r="X57" s="1"/>
      <c r="Y57" s="1"/>
      <c r="Z57" s="1"/>
      <c r="AA57" s="83"/>
      <c r="AB57" s="83"/>
      <c r="AC57" s="83"/>
      <c r="AD57" s="83"/>
      <c r="AE57" s="83"/>
      <c r="AF57" s="83"/>
      <c r="AG57" s="83"/>
      <c r="AH57" s="83"/>
      <c r="AI57" s="1"/>
      <c r="AJ57" s="1"/>
      <c r="AK57" s="1"/>
      <c r="AL57" s="1"/>
      <c r="AM57" s="1"/>
      <c r="AN57" s="1"/>
      <c r="AO57" s="82"/>
      <c r="AP57" s="1"/>
    </row>
    <row r="58" spans="2:43" ht="7" customHeight="1" x14ac:dyDescent="0.2">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row>
    <row r="59" spans="2:43" s="6" customFormat="1" ht="20.25" customHeight="1" x14ac:dyDescent="0.2">
      <c r="C59" s="190"/>
      <c r="D59" s="190"/>
      <c r="E59" s="190"/>
      <c r="F59" s="190"/>
      <c r="G59" s="235" t="str">
        <f>$G$4</f>
        <v>海外特別研究員の就職状況等について（調査票）</v>
      </c>
      <c r="H59" s="235"/>
      <c r="I59" s="235"/>
      <c r="J59" s="235"/>
      <c r="K59" s="235"/>
      <c r="L59" s="235"/>
      <c r="M59" s="235"/>
      <c r="N59" s="235"/>
      <c r="O59" s="235"/>
      <c r="P59" s="235"/>
      <c r="Q59" s="235"/>
      <c r="R59" s="235"/>
      <c r="S59" s="235"/>
      <c r="T59" s="235"/>
      <c r="U59" s="235"/>
      <c r="V59" s="235"/>
      <c r="W59" s="235"/>
      <c r="X59" s="235"/>
      <c r="Y59" s="235"/>
      <c r="Z59" s="235"/>
      <c r="AA59" s="235"/>
      <c r="AB59" s="235"/>
      <c r="AC59" s="235"/>
      <c r="AD59" s="236" t="s">
        <v>52</v>
      </c>
      <c r="AE59" s="236"/>
      <c r="AF59" s="191" t="str">
        <f>$AF$4</f>
        <v>＜様式3-3＞</v>
      </c>
      <c r="AG59" s="190"/>
      <c r="AH59" s="190"/>
      <c r="AI59" s="190"/>
      <c r="AJ59" s="190"/>
      <c r="AK59" s="190"/>
      <c r="AL59" s="190"/>
      <c r="AM59" s="190"/>
      <c r="AN59" s="190"/>
      <c r="AO59" s="190"/>
      <c r="AP59" s="143"/>
    </row>
    <row r="60" spans="2:43" ht="7" customHeight="1" x14ac:dyDescent="0.2">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84"/>
      <c r="AQ60" s="85"/>
    </row>
    <row r="61" spans="2:43" ht="6" customHeight="1" x14ac:dyDescent="0.2">
      <c r="B61" s="126"/>
      <c r="C61" s="122"/>
      <c r="D61" s="122"/>
      <c r="E61" s="127"/>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8"/>
      <c r="AP61" s="1"/>
    </row>
    <row r="62" spans="2:43" s="114" customFormat="1" ht="15" customHeight="1" x14ac:dyDescent="0.2">
      <c r="B62" s="129"/>
      <c r="C62" s="130"/>
      <c r="D62" s="130"/>
      <c r="E62" s="130" t="s">
        <v>53</v>
      </c>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1"/>
    </row>
    <row r="63" spans="2:43" s="114" customFormat="1" ht="15" customHeight="1" x14ac:dyDescent="0.2">
      <c r="B63" s="129"/>
      <c r="C63" s="130"/>
      <c r="D63" s="130"/>
      <c r="E63" s="130" t="s">
        <v>54</v>
      </c>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1"/>
    </row>
    <row r="64" spans="2:43" ht="6" customHeight="1" x14ac:dyDescent="0.2">
      <c r="B64" s="1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4"/>
      <c r="AP64" s="1"/>
    </row>
    <row r="65" spans="2:42" s="132" customFormat="1" ht="15" customHeight="1" x14ac:dyDescent="0.2">
      <c r="B65" s="133"/>
      <c r="C65" s="134"/>
      <c r="D65" s="135" t="s">
        <v>55</v>
      </c>
      <c r="E65" s="134"/>
      <c r="F65" s="134" t="s">
        <v>56</v>
      </c>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6"/>
      <c r="AP65" s="134"/>
    </row>
    <row r="66" spans="2:42" ht="6" customHeight="1" x14ac:dyDescent="0.2">
      <c r="B66" s="11"/>
      <c r="C66" s="1"/>
      <c r="D66" s="192"/>
      <c r="E66" s="19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4"/>
      <c r="AP66" s="1"/>
    </row>
    <row r="67" spans="2:42" ht="15" customHeight="1" x14ac:dyDescent="0.2">
      <c r="B67" s="11"/>
      <c r="C67" s="1"/>
      <c r="D67" s="192"/>
      <c r="E67" s="192" t="s">
        <v>57</v>
      </c>
      <c r="F67" s="1" t="s">
        <v>58</v>
      </c>
      <c r="G67" s="1"/>
      <c r="H67" s="1"/>
      <c r="I67" s="1"/>
      <c r="J67" s="1"/>
      <c r="K67" s="1"/>
      <c r="L67" s="1"/>
      <c r="M67" s="1"/>
      <c r="N67" s="1"/>
      <c r="O67" s="1"/>
      <c r="P67" s="1"/>
      <c r="Q67" s="1"/>
      <c r="R67" s="1"/>
      <c r="S67" s="1"/>
      <c r="T67" s="1"/>
      <c r="U67" s="1"/>
      <c r="V67" s="1"/>
      <c r="W67" s="1"/>
      <c r="X67" s="121"/>
      <c r="Y67" s="121"/>
      <c r="Z67" s="1"/>
      <c r="AA67" s="1"/>
      <c r="AB67" s="1"/>
      <c r="AC67" s="1"/>
      <c r="AD67" s="1"/>
      <c r="AE67" s="1"/>
      <c r="AF67" s="1"/>
      <c r="AG67" s="1"/>
      <c r="AH67" s="1"/>
      <c r="AI67" s="1"/>
      <c r="AJ67" s="1"/>
      <c r="AK67" s="1"/>
      <c r="AL67" s="1"/>
      <c r="AM67" s="137"/>
      <c r="AN67" s="1"/>
      <c r="AO67" s="14"/>
      <c r="AP67" s="1"/>
    </row>
    <row r="68" spans="2:42" ht="15" customHeight="1" x14ac:dyDescent="0.2">
      <c r="B68" s="11"/>
      <c r="C68" s="1"/>
      <c r="D68" s="192"/>
      <c r="E68" s="192" t="s">
        <v>59</v>
      </c>
      <c r="F68" s="1" t="s">
        <v>60</v>
      </c>
      <c r="G68" s="1"/>
      <c r="H68" s="1"/>
      <c r="I68" s="1"/>
      <c r="J68" s="1"/>
      <c r="K68" s="1"/>
      <c r="L68" s="1"/>
      <c r="M68" s="1"/>
      <c r="N68" s="1"/>
      <c r="O68" s="1"/>
      <c r="P68" s="1"/>
      <c r="Q68" s="1"/>
      <c r="R68" s="1"/>
      <c r="S68" s="1"/>
      <c r="T68" s="1"/>
      <c r="U68" s="1"/>
      <c r="V68" s="1"/>
      <c r="W68" s="1"/>
      <c r="X68" s="121"/>
      <c r="Y68" s="121"/>
      <c r="Z68" s="1"/>
      <c r="AA68" s="1"/>
      <c r="AB68" s="1"/>
      <c r="AC68" s="1"/>
      <c r="AD68" s="1"/>
      <c r="AE68" s="1"/>
      <c r="AF68" s="1"/>
      <c r="AG68" s="1"/>
      <c r="AH68" s="1"/>
      <c r="AI68" s="1"/>
      <c r="AJ68" s="1"/>
      <c r="AK68" s="1"/>
      <c r="AL68" s="1"/>
      <c r="AM68" s="137"/>
      <c r="AN68" s="1"/>
      <c r="AO68" s="138"/>
      <c r="AP68" s="1"/>
    </row>
    <row r="69" spans="2:42" ht="15" customHeight="1" x14ac:dyDescent="0.2">
      <c r="B69" s="11"/>
      <c r="C69" s="1"/>
      <c r="D69" s="192"/>
      <c r="E69" s="192" t="s">
        <v>61</v>
      </c>
      <c r="F69" s="1" t="s">
        <v>62</v>
      </c>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37"/>
      <c r="AN69" s="1"/>
      <c r="AO69" s="14"/>
      <c r="AP69" s="1"/>
    </row>
    <row r="70" spans="2:42" ht="15" customHeight="1" x14ac:dyDescent="0.2">
      <c r="B70" s="11"/>
      <c r="C70" s="1"/>
      <c r="D70" s="192"/>
      <c r="E70" s="192" t="s">
        <v>63</v>
      </c>
      <c r="F70" s="1" t="s">
        <v>64</v>
      </c>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37"/>
      <c r="AN70" s="1"/>
      <c r="AO70" s="14"/>
      <c r="AP70" s="1"/>
    </row>
    <row r="71" spans="2:42" ht="15" customHeight="1" x14ac:dyDescent="0.2">
      <c r="B71" s="11"/>
      <c r="C71" s="1"/>
      <c r="D71" s="192"/>
      <c r="E71" s="192" t="s">
        <v>65</v>
      </c>
      <c r="F71" s="1" t="s">
        <v>66</v>
      </c>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37"/>
      <c r="AN71" s="1"/>
      <c r="AO71" s="138"/>
      <c r="AP71" s="1"/>
    </row>
    <row r="72" spans="2:42" ht="15" customHeight="1" x14ac:dyDescent="0.2">
      <c r="B72" s="11"/>
      <c r="C72" s="1"/>
      <c r="D72" s="192"/>
      <c r="E72" s="192" t="s">
        <v>67</v>
      </c>
      <c r="F72" s="1" t="s">
        <v>68</v>
      </c>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4"/>
      <c r="AP72" s="1"/>
    </row>
    <row r="73" spans="2:42" ht="13" customHeight="1" thickBot="1" x14ac:dyDescent="0.25">
      <c r="B73" s="11"/>
      <c r="C73" s="1"/>
      <c r="D73" s="192"/>
      <c r="E73" s="19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4"/>
      <c r="AP73" s="1"/>
    </row>
    <row r="74" spans="2:42" s="132" customFormat="1" ht="15" customHeight="1" thickTop="1" thickBot="1" x14ac:dyDescent="0.25">
      <c r="B74" s="133"/>
      <c r="C74" s="134"/>
      <c r="D74" s="139" t="s">
        <v>69</v>
      </c>
      <c r="E74" s="140"/>
      <c r="F74" s="140" t="s">
        <v>70</v>
      </c>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1"/>
      <c r="AO74" s="136"/>
      <c r="AP74" s="134"/>
    </row>
    <row r="75" spans="2:42" ht="6" customHeight="1" thickTop="1" x14ac:dyDescent="0.2">
      <c r="B75" s="1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4"/>
      <c r="AP75" s="1"/>
    </row>
    <row r="76" spans="2:42" ht="15" customHeight="1" x14ac:dyDescent="0.2">
      <c r="B76" s="11"/>
      <c r="C76" s="1"/>
      <c r="D76" s="1"/>
      <c r="E76" s="142" t="s">
        <v>71</v>
      </c>
      <c r="F76" s="1"/>
      <c r="G76" s="1"/>
      <c r="H76" s="1" t="s">
        <v>72</v>
      </c>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4"/>
      <c r="AP76" s="1"/>
    </row>
    <row r="77" spans="2:42" x14ac:dyDescent="0.2">
      <c r="B77" s="11"/>
      <c r="C77" s="1"/>
      <c r="D77" s="1"/>
      <c r="E77" s="1"/>
      <c r="F77" s="1"/>
      <c r="G77" s="1"/>
      <c r="H77" s="121" t="s">
        <v>73</v>
      </c>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4"/>
      <c r="AP77" s="1"/>
    </row>
    <row r="78" spans="2:42" ht="6" customHeight="1" x14ac:dyDescent="0.2">
      <c r="B78" s="11"/>
      <c r="C78" s="1"/>
      <c r="D78" s="1"/>
      <c r="E78" s="192"/>
      <c r="F78" s="192"/>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4"/>
      <c r="AP78" s="1"/>
    </row>
    <row r="79" spans="2:42" ht="15" customHeight="1" x14ac:dyDescent="0.2">
      <c r="B79" s="11"/>
      <c r="C79" s="1"/>
      <c r="D79" s="1"/>
      <c r="E79" s="192"/>
      <c r="F79" s="192"/>
      <c r="G79" s="1" t="s">
        <v>57</v>
      </c>
      <c r="H79" s="1" t="s">
        <v>74</v>
      </c>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4"/>
      <c r="AP79" s="1"/>
    </row>
    <row r="80" spans="2:42" ht="15" customHeight="1" x14ac:dyDescent="0.2">
      <c r="B80" s="11"/>
      <c r="C80" s="1"/>
      <c r="D80" s="1"/>
      <c r="E80" s="192"/>
      <c r="F80" s="192"/>
      <c r="G80" s="1" t="s">
        <v>59</v>
      </c>
      <c r="H80" s="1" t="s">
        <v>75</v>
      </c>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4"/>
      <c r="AP80" s="1"/>
    </row>
    <row r="81" spans="2:42" ht="15" customHeight="1" x14ac:dyDescent="0.2">
      <c r="B81" s="11"/>
      <c r="C81" s="1"/>
      <c r="D81" s="1"/>
      <c r="E81" s="192"/>
      <c r="F81" s="192"/>
      <c r="G81" s="1" t="s">
        <v>61</v>
      </c>
      <c r="H81" s="1" t="s">
        <v>76</v>
      </c>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4"/>
      <c r="AP81" s="1"/>
    </row>
    <row r="82" spans="2:42" ht="15" customHeight="1" x14ac:dyDescent="0.2">
      <c r="B82" s="11"/>
      <c r="C82" s="1"/>
      <c r="D82" s="1"/>
      <c r="E82" s="192"/>
      <c r="F82" s="192"/>
      <c r="G82" s="1" t="s">
        <v>63</v>
      </c>
      <c r="H82" s="1" t="s">
        <v>77</v>
      </c>
      <c r="I82" s="1"/>
      <c r="J82" s="1"/>
      <c r="K82" s="1" t="s">
        <v>78</v>
      </c>
      <c r="L82" s="301"/>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3"/>
      <c r="AN82" s="1" t="s">
        <v>79</v>
      </c>
      <c r="AO82" s="14"/>
      <c r="AP82" s="1"/>
    </row>
    <row r="83" spans="2:42" ht="6" customHeight="1" x14ac:dyDescent="0.2">
      <c r="B83" s="11"/>
      <c r="C83" s="1"/>
      <c r="D83" s="1"/>
      <c r="E83" s="192"/>
      <c r="F83" s="192"/>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4"/>
      <c r="AP83" s="1"/>
    </row>
    <row r="84" spans="2:42" ht="15" customHeight="1" x14ac:dyDescent="0.2">
      <c r="B84" s="11"/>
      <c r="C84" s="1"/>
      <c r="D84" s="1"/>
      <c r="E84" s="1"/>
      <c r="F84" s="1"/>
      <c r="G84" s="1"/>
      <c r="H84" s="1" t="s">
        <v>27</v>
      </c>
      <c r="I84" s="1" t="s">
        <v>80</v>
      </c>
      <c r="J84" s="1"/>
      <c r="K84" s="1" t="s">
        <v>81</v>
      </c>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4"/>
      <c r="AP84" s="1"/>
    </row>
    <row r="85" spans="2:42" ht="15" customHeight="1" x14ac:dyDescent="0.2">
      <c r="B85" s="11"/>
      <c r="C85" s="1"/>
      <c r="D85" s="1"/>
      <c r="E85" s="1"/>
      <c r="F85" s="1"/>
      <c r="G85" s="1"/>
      <c r="H85" s="1" t="s">
        <v>27</v>
      </c>
      <c r="I85" s="1" t="s">
        <v>82</v>
      </c>
      <c r="J85" s="1"/>
      <c r="K85" s="1"/>
      <c r="L85" s="1"/>
      <c r="M85" s="1"/>
      <c r="N85" s="1"/>
      <c r="O85" s="1"/>
      <c r="P85" s="1"/>
      <c r="Q85" s="1"/>
      <c r="R85" s="1" t="s">
        <v>83</v>
      </c>
      <c r="S85" s="1"/>
      <c r="T85" s="1"/>
      <c r="U85" s="1"/>
      <c r="V85" s="1"/>
      <c r="W85" s="1"/>
      <c r="X85" s="1"/>
      <c r="Y85" s="1"/>
      <c r="Z85" s="1"/>
      <c r="AA85" s="1"/>
      <c r="AB85" s="1"/>
      <c r="AC85" s="1"/>
      <c r="AD85" s="1"/>
      <c r="AE85" s="1"/>
      <c r="AF85" s="1"/>
      <c r="AG85" s="1"/>
      <c r="AH85" s="1"/>
      <c r="AI85" s="1"/>
      <c r="AJ85" s="1"/>
      <c r="AK85" s="1"/>
      <c r="AL85" s="1"/>
      <c r="AM85" s="1"/>
      <c r="AN85" s="1"/>
      <c r="AO85" s="14"/>
      <c r="AP85" s="1"/>
    </row>
    <row r="86" spans="2:42" ht="13" customHeight="1" x14ac:dyDescent="0.2">
      <c r="B86" s="1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4"/>
      <c r="AP86" s="1"/>
    </row>
    <row r="87" spans="2:42" ht="15" customHeight="1" x14ac:dyDescent="0.2">
      <c r="B87" s="11"/>
      <c r="C87" s="1"/>
      <c r="D87" s="1"/>
      <c r="E87" s="142" t="s">
        <v>84</v>
      </c>
      <c r="F87" s="1"/>
      <c r="G87" s="1"/>
      <c r="H87" s="1" t="s">
        <v>85</v>
      </c>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4"/>
      <c r="AP87" s="1"/>
    </row>
    <row r="88" spans="2:42" ht="6" customHeight="1" x14ac:dyDescent="0.2">
      <c r="B88" s="1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4"/>
      <c r="AP88" s="1"/>
    </row>
    <row r="89" spans="2:42" ht="15" customHeight="1" x14ac:dyDescent="0.2">
      <c r="B89" s="11"/>
      <c r="C89" s="1"/>
      <c r="D89" s="1"/>
      <c r="E89" s="1"/>
      <c r="F89" s="1"/>
      <c r="G89" s="1" t="s">
        <v>57</v>
      </c>
      <c r="H89" s="1" t="s">
        <v>86</v>
      </c>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4"/>
      <c r="AP89" s="1"/>
    </row>
    <row r="90" spans="2:42" ht="15" customHeight="1" x14ac:dyDescent="0.2">
      <c r="B90" s="11"/>
      <c r="C90" s="1"/>
      <c r="D90" s="1"/>
      <c r="E90" s="1"/>
      <c r="F90" s="1"/>
      <c r="G90" s="1" t="s">
        <v>59</v>
      </c>
      <c r="H90" s="1" t="s">
        <v>87</v>
      </c>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4"/>
      <c r="AP90" s="1"/>
    </row>
    <row r="91" spans="2:42" ht="15" customHeight="1" x14ac:dyDescent="0.2">
      <c r="B91" s="11"/>
      <c r="C91" s="1"/>
      <c r="D91" s="1"/>
      <c r="E91" s="1"/>
      <c r="F91" s="1"/>
      <c r="G91" s="1" t="s">
        <v>61</v>
      </c>
      <c r="H91" s="1" t="s">
        <v>77</v>
      </c>
      <c r="I91" s="1"/>
      <c r="J91" s="1"/>
      <c r="K91" s="1" t="s">
        <v>78</v>
      </c>
      <c r="L91" s="301"/>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3"/>
      <c r="AN91" s="1" t="s">
        <v>79</v>
      </c>
      <c r="AO91" s="14"/>
      <c r="AP91" s="1"/>
    </row>
    <row r="92" spans="2:42" ht="13" customHeight="1" thickBot="1" x14ac:dyDescent="0.25">
      <c r="B92" s="11"/>
      <c r="C92" s="1"/>
      <c r="D92" s="1"/>
      <c r="E92" s="1"/>
      <c r="F92" s="1"/>
      <c r="G92" s="1"/>
      <c r="H92" s="1"/>
      <c r="I92" s="1"/>
      <c r="J92" s="1"/>
      <c r="K92" s="1"/>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
      <c r="AO92" s="14"/>
      <c r="AP92" s="1"/>
    </row>
    <row r="93" spans="2:42" s="132" customFormat="1" ht="15" customHeight="1" thickTop="1" thickBot="1" x14ac:dyDescent="0.25">
      <c r="B93" s="133"/>
      <c r="C93" s="134"/>
      <c r="D93" s="139" t="s">
        <v>88</v>
      </c>
      <c r="E93" s="140"/>
      <c r="F93" s="140" t="s">
        <v>89</v>
      </c>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c r="AG93" s="140"/>
      <c r="AH93" s="140"/>
      <c r="AI93" s="140"/>
      <c r="AJ93" s="140"/>
      <c r="AK93" s="140"/>
      <c r="AL93" s="140"/>
      <c r="AM93" s="140"/>
      <c r="AN93" s="141"/>
      <c r="AO93" s="136"/>
      <c r="AP93" s="134"/>
    </row>
    <row r="94" spans="2:42" ht="6" customHeight="1" thickTop="1" x14ac:dyDescent="0.2">
      <c r="B94" s="1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4"/>
      <c r="AP94" s="1"/>
    </row>
    <row r="95" spans="2:42" ht="15" customHeight="1" x14ac:dyDescent="0.2">
      <c r="B95" s="11"/>
      <c r="C95" s="1"/>
      <c r="D95" s="1"/>
      <c r="E95" s="142" t="s">
        <v>90</v>
      </c>
      <c r="F95" s="1"/>
      <c r="G95" s="1"/>
      <c r="H95" s="1" t="s">
        <v>91</v>
      </c>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4"/>
      <c r="AP95" s="1"/>
    </row>
    <row r="96" spans="2:42" ht="6" customHeight="1" x14ac:dyDescent="0.2">
      <c r="B96" s="1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4"/>
      <c r="AP96" s="1"/>
    </row>
    <row r="97" spans="2:42" ht="15" customHeight="1" x14ac:dyDescent="0.2">
      <c r="B97" s="11"/>
      <c r="C97" s="1"/>
      <c r="D97" s="1"/>
      <c r="E97" s="1"/>
      <c r="F97" s="1"/>
      <c r="G97" s="1" t="s">
        <v>57</v>
      </c>
      <c r="H97" s="1" t="s">
        <v>92</v>
      </c>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4"/>
      <c r="AP97" s="1"/>
    </row>
    <row r="98" spans="2:42" ht="15" customHeight="1" x14ac:dyDescent="0.2">
      <c r="B98" s="11"/>
      <c r="C98" s="1"/>
      <c r="D98" s="1"/>
      <c r="E98" s="1"/>
      <c r="F98" s="1"/>
      <c r="G98" s="1" t="s">
        <v>59</v>
      </c>
      <c r="H98" s="1" t="s">
        <v>93</v>
      </c>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4"/>
      <c r="AP98" s="1"/>
    </row>
    <row r="99" spans="2:42" ht="15" customHeight="1" x14ac:dyDescent="0.2">
      <c r="B99" s="11"/>
      <c r="C99" s="1"/>
      <c r="D99" s="1"/>
      <c r="E99" s="1"/>
      <c r="F99" s="1"/>
      <c r="G99" s="1" t="s">
        <v>61</v>
      </c>
      <c r="H99" s="1" t="s">
        <v>94</v>
      </c>
      <c r="I99" s="1"/>
      <c r="J99" s="1"/>
      <c r="K99" s="1"/>
      <c r="L99" s="1"/>
      <c r="M99" s="144" t="s">
        <v>95</v>
      </c>
      <c r="N99" s="144" t="s">
        <v>96</v>
      </c>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4"/>
      <c r="AP99" s="1"/>
    </row>
    <row r="100" spans="2:42" ht="15" customHeight="1" x14ac:dyDescent="0.2">
      <c r="B100" s="11"/>
      <c r="C100" s="1"/>
      <c r="D100" s="1"/>
      <c r="E100" s="1"/>
      <c r="F100" s="1"/>
      <c r="G100" s="1" t="s">
        <v>63</v>
      </c>
      <c r="H100" s="1" t="s">
        <v>77</v>
      </c>
      <c r="I100" s="1"/>
      <c r="J100" s="1"/>
      <c r="K100" s="1" t="s">
        <v>78</v>
      </c>
      <c r="L100" s="301"/>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3"/>
      <c r="AN100" s="1" t="s">
        <v>79</v>
      </c>
      <c r="AO100" s="14"/>
      <c r="AP100" s="1"/>
    </row>
    <row r="101" spans="2:42" ht="13" customHeight="1" x14ac:dyDescent="0.2">
      <c r="B101" s="1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4"/>
      <c r="AP101" s="1"/>
    </row>
    <row r="102" spans="2:42" ht="15" customHeight="1" x14ac:dyDescent="0.2">
      <c r="B102" s="11"/>
      <c r="C102" s="1"/>
      <c r="D102" s="1"/>
      <c r="E102" s="142" t="s">
        <v>97</v>
      </c>
      <c r="F102" s="1"/>
      <c r="G102" s="1"/>
      <c r="H102" s="1" t="s">
        <v>98</v>
      </c>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4"/>
      <c r="AP102" s="1"/>
    </row>
    <row r="103" spans="2:42" ht="15" customHeight="1" x14ac:dyDescent="0.2">
      <c r="B103" s="11"/>
      <c r="C103" s="1"/>
      <c r="D103" s="1"/>
      <c r="E103" s="142"/>
      <c r="F103" s="1"/>
      <c r="G103" s="1"/>
      <c r="H103" s="1" t="s">
        <v>99</v>
      </c>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4"/>
      <c r="AP103" s="1"/>
    </row>
    <row r="104" spans="2:42" x14ac:dyDescent="0.2">
      <c r="B104" s="11"/>
      <c r="C104" s="1"/>
      <c r="D104" s="1"/>
      <c r="E104" s="1"/>
      <c r="F104" s="1"/>
      <c r="G104" s="1"/>
      <c r="H104" s="121" t="s">
        <v>73</v>
      </c>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4"/>
      <c r="AP104" s="1"/>
    </row>
    <row r="105" spans="2:42" ht="6" customHeight="1" x14ac:dyDescent="0.2">
      <c r="B105" s="1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4"/>
      <c r="AP105" s="1"/>
    </row>
    <row r="106" spans="2:42" ht="15" customHeight="1" x14ac:dyDescent="0.2">
      <c r="B106" s="11"/>
      <c r="C106" s="1"/>
      <c r="D106" s="1"/>
      <c r="E106" s="1"/>
      <c r="F106" s="1"/>
      <c r="G106" s="1" t="s">
        <v>57</v>
      </c>
      <c r="H106" s="1" t="s">
        <v>74</v>
      </c>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4"/>
      <c r="AP106" s="1"/>
    </row>
    <row r="107" spans="2:42" ht="15" customHeight="1" x14ac:dyDescent="0.2">
      <c r="B107" s="11"/>
      <c r="C107" s="1"/>
      <c r="D107" s="1"/>
      <c r="E107" s="1"/>
      <c r="F107" s="1"/>
      <c r="G107" s="1" t="s">
        <v>59</v>
      </c>
      <c r="H107" s="1" t="s">
        <v>75</v>
      </c>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4"/>
      <c r="AP107" s="1"/>
    </row>
    <row r="108" spans="2:42" ht="15" customHeight="1" x14ac:dyDescent="0.2">
      <c r="B108" s="11"/>
      <c r="C108" s="1"/>
      <c r="D108" s="1"/>
      <c r="E108" s="1"/>
      <c r="F108" s="1"/>
      <c r="G108" s="1" t="s">
        <v>61</v>
      </c>
      <c r="H108" s="1" t="s">
        <v>76</v>
      </c>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4"/>
      <c r="AP108" s="1"/>
    </row>
    <row r="109" spans="2:42" ht="15" customHeight="1" x14ac:dyDescent="0.2">
      <c r="B109" s="11"/>
      <c r="C109" s="1"/>
      <c r="D109" s="1"/>
      <c r="E109" s="1"/>
      <c r="F109" s="1"/>
      <c r="G109" s="1" t="s">
        <v>63</v>
      </c>
      <c r="H109" s="1" t="s">
        <v>77</v>
      </c>
      <c r="I109" s="1"/>
      <c r="J109" s="1"/>
      <c r="K109" s="1" t="s">
        <v>78</v>
      </c>
      <c r="L109" s="301"/>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3"/>
      <c r="AN109" s="1" t="s">
        <v>79</v>
      </c>
      <c r="AO109" s="14"/>
      <c r="AP109" s="1"/>
    </row>
    <row r="110" spans="2:42" ht="6" customHeight="1" x14ac:dyDescent="0.2">
      <c r="B110" s="1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4"/>
      <c r="AP110" s="1"/>
    </row>
    <row r="111" spans="2:42" ht="15" customHeight="1" x14ac:dyDescent="0.2">
      <c r="B111" s="11"/>
      <c r="C111" s="1"/>
      <c r="D111" s="1"/>
      <c r="E111" s="1"/>
      <c r="F111" s="1"/>
      <c r="G111" s="1"/>
      <c r="H111" s="1" t="s">
        <v>27</v>
      </c>
      <c r="I111" s="1" t="s">
        <v>80</v>
      </c>
      <c r="J111" s="1"/>
      <c r="K111" s="1" t="s">
        <v>81</v>
      </c>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4"/>
      <c r="AP111" s="1"/>
    </row>
    <row r="112" spans="2:42" ht="15" customHeight="1" x14ac:dyDescent="0.2">
      <c r="B112" s="11"/>
      <c r="C112" s="1"/>
      <c r="D112" s="1"/>
      <c r="E112" s="1"/>
      <c r="F112" s="1"/>
      <c r="G112" s="1"/>
      <c r="H112" s="1" t="s">
        <v>27</v>
      </c>
      <c r="I112" s="1" t="s">
        <v>82</v>
      </c>
      <c r="J112" s="1"/>
      <c r="K112" s="1"/>
      <c r="L112" s="1"/>
      <c r="M112" s="1"/>
      <c r="N112" s="1"/>
      <c r="O112" s="1"/>
      <c r="P112" s="1"/>
      <c r="Q112" s="1"/>
      <c r="R112" s="1" t="s">
        <v>83</v>
      </c>
      <c r="S112" s="1"/>
      <c r="T112" s="1"/>
      <c r="U112" s="1"/>
      <c r="V112" s="1"/>
      <c r="W112" s="1"/>
      <c r="X112" s="1"/>
      <c r="Y112" s="1"/>
      <c r="Z112" s="1"/>
      <c r="AA112" s="1"/>
      <c r="AB112" s="1"/>
      <c r="AC112" s="1"/>
      <c r="AD112" s="1"/>
      <c r="AE112" s="1"/>
      <c r="AF112" s="1"/>
      <c r="AG112" s="1"/>
      <c r="AH112" s="1"/>
      <c r="AI112" s="1"/>
      <c r="AJ112" s="1"/>
      <c r="AK112" s="1"/>
      <c r="AL112" s="1"/>
      <c r="AM112" s="1"/>
      <c r="AN112" s="1"/>
      <c r="AO112" s="14"/>
      <c r="AP112" s="1"/>
    </row>
    <row r="113" spans="2:43" ht="13" customHeight="1" x14ac:dyDescent="0.2">
      <c r="B113" s="1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4"/>
      <c r="AP113" s="1"/>
    </row>
    <row r="114" spans="2:43" ht="15" customHeight="1" x14ac:dyDescent="0.2">
      <c r="B114" s="11"/>
      <c r="C114" s="1"/>
      <c r="D114" s="1"/>
      <c r="E114" s="142" t="s">
        <v>100</v>
      </c>
      <c r="F114" s="1"/>
      <c r="G114" s="1"/>
      <c r="H114" s="1" t="s">
        <v>101</v>
      </c>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4"/>
      <c r="AP114" s="1"/>
    </row>
    <row r="115" spans="2:43" ht="6" customHeight="1" x14ac:dyDescent="0.2">
      <c r="B115" s="1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4"/>
      <c r="AP115" s="1"/>
    </row>
    <row r="116" spans="2:43" ht="15" customHeight="1" x14ac:dyDescent="0.2">
      <c r="B116" s="11"/>
      <c r="C116" s="1"/>
      <c r="D116" s="1"/>
      <c r="E116" s="1"/>
      <c r="F116" s="1"/>
      <c r="G116" s="1" t="s">
        <v>57</v>
      </c>
      <c r="H116" s="1" t="s">
        <v>102</v>
      </c>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4"/>
      <c r="AP116" s="1"/>
    </row>
    <row r="117" spans="2:43" ht="15" customHeight="1" x14ac:dyDescent="0.2">
      <c r="B117" s="11"/>
      <c r="C117" s="1"/>
      <c r="D117" s="1"/>
      <c r="E117" s="1"/>
      <c r="F117" s="1"/>
      <c r="G117" s="1" t="s">
        <v>59</v>
      </c>
      <c r="H117" s="1" t="s">
        <v>103</v>
      </c>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4"/>
      <c r="AP117" s="1"/>
    </row>
    <row r="118" spans="2:43" ht="15" customHeight="1" x14ac:dyDescent="0.2">
      <c r="B118" s="11"/>
      <c r="C118" s="1"/>
      <c r="D118" s="1"/>
      <c r="E118" s="1"/>
      <c r="F118" s="1"/>
      <c r="G118" s="1" t="s">
        <v>61</v>
      </c>
      <c r="H118" s="1" t="s">
        <v>104</v>
      </c>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4"/>
      <c r="AP118" s="1"/>
    </row>
    <row r="119" spans="2:43" ht="15" customHeight="1" x14ac:dyDescent="0.2">
      <c r="B119" s="11"/>
      <c r="C119" s="1"/>
      <c r="D119" s="1"/>
      <c r="E119" s="1"/>
      <c r="F119" s="1"/>
      <c r="G119" s="1" t="s">
        <v>63</v>
      </c>
      <c r="H119" s="1" t="s">
        <v>77</v>
      </c>
      <c r="I119" s="1"/>
      <c r="J119" s="1"/>
      <c r="K119" s="1" t="s">
        <v>78</v>
      </c>
      <c r="L119" s="301"/>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3"/>
      <c r="AN119" s="1" t="s">
        <v>79</v>
      </c>
      <c r="AO119" s="14"/>
      <c r="AP119" s="1"/>
    </row>
    <row r="120" spans="2:43" ht="6" customHeight="1" x14ac:dyDescent="0.2">
      <c r="B120" s="145"/>
      <c r="C120" s="146"/>
      <c r="D120" s="146"/>
      <c r="E120" s="106"/>
      <c r="F120" s="1"/>
      <c r="G120" s="1"/>
      <c r="H120" s="1"/>
      <c r="I120" s="1"/>
      <c r="J120" s="1"/>
      <c r="K120" s="1"/>
      <c r="L120" s="1"/>
      <c r="M120" s="1"/>
      <c r="N120" s="1"/>
      <c r="O120" s="1"/>
      <c r="P120" s="1"/>
      <c r="Q120" s="1"/>
      <c r="R120" s="1"/>
      <c r="S120" s="1"/>
      <c r="T120" s="84"/>
      <c r="U120" s="84"/>
      <c r="V120" s="84"/>
      <c r="W120" s="84"/>
      <c r="X120" s="84"/>
      <c r="Y120" s="1"/>
      <c r="Z120" s="1"/>
      <c r="AA120" s="1"/>
      <c r="AB120" s="1"/>
      <c r="AC120" s="1"/>
      <c r="AD120" s="1"/>
      <c r="AE120" s="1"/>
      <c r="AF120" s="1"/>
      <c r="AG120" s="1"/>
      <c r="AH120" s="1"/>
      <c r="AI120" s="1"/>
      <c r="AJ120" s="1"/>
      <c r="AK120" s="1"/>
      <c r="AL120" s="1"/>
      <c r="AM120" s="1"/>
      <c r="AN120" s="1"/>
      <c r="AO120" s="14"/>
      <c r="AP120" s="1"/>
    </row>
    <row r="121" spans="2:43" x14ac:dyDescent="0.2">
      <c r="B121" s="122"/>
      <c r="C121" s="122"/>
      <c r="D121" s="122" t="s">
        <v>51</v>
      </c>
      <c r="E121" s="122"/>
      <c r="F121" s="122"/>
      <c r="G121" s="122"/>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4"/>
      <c r="AM121" s="124"/>
      <c r="AN121" s="122"/>
      <c r="AO121" s="122"/>
      <c r="AP121" s="1"/>
    </row>
    <row r="122" spans="2:43" ht="6" customHeight="1" x14ac:dyDescent="0.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spans="2:43" ht="12" customHeight="1" x14ac:dyDescent="0.2">
      <c r="B123" s="231" t="str">
        <f>$B$1</f>
        <v>e-mail：kaitoku@jsps.go.jp</v>
      </c>
      <c r="C123" s="231"/>
      <c r="D123" s="231"/>
      <c r="E123" s="231"/>
      <c r="F123" s="231"/>
      <c r="G123" s="231"/>
      <c r="H123" s="231"/>
      <c r="I123" s="231"/>
      <c r="J123" s="231"/>
      <c r="K123" s="231"/>
      <c r="L123" s="231"/>
      <c r="M123" s="231"/>
      <c r="N123" s="231"/>
      <c r="O123" s="216"/>
      <c r="P123" s="216"/>
      <c r="Q123" s="216"/>
      <c r="R123" s="216"/>
      <c r="S123" s="1"/>
      <c r="T123" s="1"/>
      <c r="U123" s="1"/>
      <c r="V123" s="1"/>
      <c r="W123" s="1"/>
      <c r="X123" s="1"/>
      <c r="Y123" s="1"/>
      <c r="Z123" s="1"/>
      <c r="AA123" s="83"/>
      <c r="AB123" s="83"/>
      <c r="AC123" s="237" t="str">
        <f>$AC$1</f>
        <v>令和　　　7年　　　12月　　　12日</v>
      </c>
      <c r="AD123" s="237"/>
      <c r="AE123" s="237"/>
      <c r="AF123" s="237"/>
      <c r="AG123" s="237"/>
      <c r="AH123" s="237"/>
      <c r="AI123" s="237"/>
      <c r="AJ123" s="237"/>
      <c r="AK123" s="237"/>
      <c r="AL123" s="237"/>
      <c r="AM123" s="237"/>
      <c r="AN123" s="195"/>
      <c r="AO123" s="196" t="s">
        <v>1</v>
      </c>
      <c r="AP123" s="1"/>
    </row>
    <row r="124" spans="2:43" ht="12" customHeight="1" x14ac:dyDescent="0.2">
      <c r="B124" s="231" t="str">
        <f>$B$2</f>
        <v>日本学術振興会 海外特別研究員担当 宛</v>
      </c>
      <c r="C124" s="231"/>
      <c r="D124" s="231"/>
      <c r="E124" s="231"/>
      <c r="F124" s="231"/>
      <c r="G124" s="231"/>
      <c r="H124" s="231"/>
      <c r="I124" s="231"/>
      <c r="J124" s="231"/>
      <c r="K124" s="231"/>
      <c r="L124" s="231"/>
      <c r="M124" s="231"/>
      <c r="N124" s="231"/>
      <c r="O124" s="216"/>
      <c r="P124" s="216"/>
      <c r="Q124" s="216"/>
      <c r="R124" s="216"/>
      <c r="S124" s="1"/>
      <c r="T124" s="1"/>
      <c r="U124" s="1"/>
      <c r="V124" s="1"/>
      <c r="W124" s="1"/>
      <c r="X124" s="1"/>
      <c r="Y124" s="1"/>
      <c r="Z124" s="1"/>
      <c r="AA124" s="83"/>
      <c r="AB124" s="83"/>
      <c r="AC124" s="83"/>
      <c r="AD124" s="83"/>
      <c r="AE124" s="83"/>
      <c r="AF124" s="83"/>
      <c r="AG124" s="83"/>
      <c r="AH124" s="83"/>
      <c r="AI124" s="1"/>
      <c r="AJ124" s="1"/>
      <c r="AK124" s="1"/>
      <c r="AL124" s="1"/>
      <c r="AM124" s="1"/>
      <c r="AN124" s="1"/>
      <c r="AO124" s="82"/>
      <c r="AP124" s="1"/>
    </row>
    <row r="125" spans="2:43" ht="7" customHeight="1" x14ac:dyDescent="0.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row>
    <row r="126" spans="2:43" s="6" customFormat="1" ht="20.25" customHeight="1" x14ac:dyDescent="0.2">
      <c r="C126" s="190"/>
      <c r="D126" s="190"/>
      <c r="E126" s="190"/>
      <c r="F126" s="190"/>
      <c r="G126" s="235" t="str">
        <f>$G$4</f>
        <v>海外特別研究員の就職状況等について（調査票）</v>
      </c>
      <c r="H126" s="235"/>
      <c r="I126" s="235"/>
      <c r="J126" s="235"/>
      <c r="K126" s="235"/>
      <c r="L126" s="235"/>
      <c r="M126" s="235"/>
      <c r="N126" s="235"/>
      <c r="O126" s="235"/>
      <c r="P126" s="235"/>
      <c r="Q126" s="235"/>
      <c r="R126" s="235"/>
      <c r="S126" s="235"/>
      <c r="T126" s="235"/>
      <c r="U126" s="235"/>
      <c r="V126" s="235"/>
      <c r="W126" s="235"/>
      <c r="X126" s="235"/>
      <c r="Y126" s="235"/>
      <c r="Z126" s="235"/>
      <c r="AA126" s="235"/>
      <c r="AB126" s="235"/>
      <c r="AC126" s="235"/>
      <c r="AD126" s="236" t="s">
        <v>105</v>
      </c>
      <c r="AE126" s="236"/>
      <c r="AF126" s="191" t="str">
        <f>$AF$4</f>
        <v>＜様式3-3＞</v>
      </c>
      <c r="AG126" s="190"/>
      <c r="AH126" s="190"/>
      <c r="AI126" s="190"/>
      <c r="AJ126" s="190"/>
      <c r="AK126" s="190"/>
      <c r="AL126" s="190"/>
      <c r="AM126" s="190"/>
      <c r="AN126" s="190"/>
      <c r="AO126" s="190"/>
      <c r="AP126" s="143"/>
    </row>
    <row r="127" spans="2:43" ht="7" customHeight="1" x14ac:dyDescent="0.2">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84"/>
      <c r="AQ127" s="85"/>
    </row>
    <row r="128" spans="2:43" ht="6" customHeight="1" x14ac:dyDescent="0.2">
      <c r="B128" s="147"/>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48"/>
      <c r="AJ128" s="148"/>
      <c r="AK128" s="148"/>
      <c r="AL128" s="148"/>
      <c r="AM128" s="148"/>
      <c r="AN128" s="148"/>
      <c r="AO128" s="149"/>
      <c r="AP128" s="1"/>
    </row>
    <row r="129" spans="2:43" s="150" customFormat="1" ht="13" x14ac:dyDescent="0.2">
      <c r="B129" s="151"/>
      <c r="C129" s="150" t="s">
        <v>106</v>
      </c>
      <c r="F129" s="150" t="s">
        <v>107</v>
      </c>
      <c r="AO129" s="152"/>
    </row>
    <row r="130" spans="2:43" s="114" customFormat="1" ht="13" x14ac:dyDescent="0.2">
      <c r="B130" s="151"/>
      <c r="C130" s="150"/>
      <c r="D130" s="150"/>
      <c r="E130" s="150"/>
      <c r="F130" s="150" t="s">
        <v>108</v>
      </c>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c r="AM130" s="150"/>
      <c r="AN130" s="150"/>
      <c r="AO130" s="152"/>
    </row>
    <row r="131" spans="2:43" ht="3" customHeight="1" x14ac:dyDescent="0.2">
      <c r="B131" s="153"/>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5"/>
      <c r="AP131" s="1"/>
    </row>
    <row r="132" spans="2:43" ht="14.5" thickBot="1" x14ac:dyDescent="0.25">
      <c r="B132" s="153"/>
      <c r="C132" s="154"/>
      <c r="D132" s="154"/>
      <c r="E132" s="154"/>
      <c r="F132" s="154"/>
      <c r="G132" s="154" t="s">
        <v>57</v>
      </c>
      <c r="H132" s="154" t="s">
        <v>109</v>
      </c>
      <c r="J132" s="154"/>
      <c r="K132" s="154"/>
      <c r="L132" s="154"/>
      <c r="M132" s="154"/>
      <c r="N132" s="154"/>
      <c r="O132" s="154"/>
      <c r="P132" s="154"/>
      <c r="Q132" s="154"/>
      <c r="R132" s="154"/>
      <c r="S132" s="154"/>
      <c r="T132" s="154"/>
      <c r="U132" s="154"/>
      <c r="V132" s="154"/>
      <c r="W132" s="154"/>
      <c r="X132" s="154"/>
      <c r="Y132" s="154"/>
      <c r="Z132" s="137" t="s">
        <v>110</v>
      </c>
      <c r="AA132" s="154"/>
      <c r="AB132" s="358" t="s">
        <v>111</v>
      </c>
      <c r="AC132" s="359"/>
      <c r="AD132" s="359"/>
      <c r="AE132" s="154" t="s">
        <v>112</v>
      </c>
      <c r="AF132" s="156"/>
      <c r="AG132" s="154"/>
      <c r="AH132" s="154"/>
      <c r="AI132" s="154"/>
      <c r="AJ132" s="154"/>
      <c r="AK132" s="154"/>
      <c r="AL132" s="154"/>
      <c r="AM132" s="154"/>
      <c r="AN132" s="154"/>
      <c r="AO132" s="155"/>
      <c r="AP132" s="1"/>
    </row>
    <row r="133" spans="2:43" ht="3" customHeight="1" thickTop="1" x14ac:dyDescent="0.2">
      <c r="B133" s="153"/>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5"/>
      <c r="AP133" s="1"/>
    </row>
    <row r="134" spans="2:43" ht="14.5" thickBot="1" x14ac:dyDescent="0.25">
      <c r="B134" s="153"/>
      <c r="C134" s="154"/>
      <c r="D134" s="154"/>
      <c r="E134" s="154"/>
      <c r="F134" s="154"/>
      <c r="G134" s="154" t="s">
        <v>113</v>
      </c>
      <c r="H134" s="154" t="s">
        <v>114</v>
      </c>
      <c r="J134" s="154"/>
      <c r="K134" s="154"/>
      <c r="L134" s="154"/>
      <c r="M134" s="143" t="s">
        <v>115</v>
      </c>
      <c r="O134" s="154"/>
      <c r="P134" s="154"/>
      <c r="Q134" s="154"/>
      <c r="R134" s="154"/>
      <c r="S134" s="154"/>
      <c r="T134" s="154"/>
      <c r="U134" s="154"/>
      <c r="V134" s="154"/>
      <c r="W134" s="154"/>
      <c r="X134" s="154"/>
      <c r="Y134" s="154"/>
      <c r="Z134" s="137" t="s">
        <v>110</v>
      </c>
      <c r="AA134" s="154"/>
      <c r="AB134" s="358" t="s">
        <v>116</v>
      </c>
      <c r="AC134" s="359"/>
      <c r="AD134" s="359"/>
      <c r="AE134" s="154" t="s">
        <v>112</v>
      </c>
      <c r="AF134" s="154"/>
      <c r="AG134" s="154"/>
      <c r="AH134" s="154"/>
      <c r="AI134" s="154"/>
      <c r="AJ134" s="154"/>
      <c r="AK134" s="154"/>
      <c r="AL134" s="154"/>
      <c r="AM134" s="154"/>
      <c r="AN134" s="154"/>
      <c r="AO134" s="155"/>
      <c r="AP134" s="1"/>
    </row>
    <row r="135" spans="2:43" ht="14.5" thickTop="1" x14ac:dyDescent="0.2">
      <c r="B135" s="153"/>
      <c r="C135" s="154"/>
      <c r="D135" s="154"/>
      <c r="E135" s="154"/>
      <c r="F135" s="154"/>
      <c r="G135" s="154"/>
      <c r="H135" s="154"/>
      <c r="J135" s="154"/>
      <c r="K135" s="154"/>
      <c r="L135" s="154"/>
      <c r="M135" s="143"/>
      <c r="O135" s="154"/>
      <c r="P135" s="154"/>
      <c r="Q135" s="154"/>
      <c r="R135" s="154"/>
      <c r="S135" s="154"/>
      <c r="T135" s="154"/>
      <c r="U135" s="154"/>
      <c r="V135" s="154"/>
      <c r="W135" s="154"/>
      <c r="X135" s="154"/>
      <c r="Y135" s="154"/>
      <c r="Z135" s="137"/>
      <c r="AA135" s="154"/>
      <c r="AB135" s="157"/>
      <c r="AC135" s="158"/>
      <c r="AD135" s="158"/>
      <c r="AE135" s="154"/>
      <c r="AF135" s="154"/>
      <c r="AG135" s="154"/>
      <c r="AH135" s="154"/>
      <c r="AI135" s="154"/>
      <c r="AJ135" s="154"/>
      <c r="AK135" s="154"/>
      <c r="AL135" s="154"/>
      <c r="AM135" s="154"/>
      <c r="AN135" s="154"/>
      <c r="AO135" s="155"/>
      <c r="AP135" s="1"/>
    </row>
    <row r="136" spans="2:43" ht="13" x14ac:dyDescent="0.2">
      <c r="B136" s="153"/>
      <c r="C136" s="154"/>
      <c r="D136" s="154"/>
      <c r="E136" s="154"/>
      <c r="F136" s="1" t="s">
        <v>27</v>
      </c>
      <c r="G136" s="231" t="s">
        <v>117</v>
      </c>
      <c r="H136" s="231"/>
      <c r="I136" s="231"/>
      <c r="J136" s="231"/>
      <c r="K136" s="231"/>
      <c r="L136" s="231"/>
      <c r="M136" s="231"/>
      <c r="N136" s="231"/>
      <c r="O136" s="231"/>
      <c r="P136" s="231"/>
      <c r="Q136" s="231"/>
      <c r="R136" s="231"/>
      <c r="S136" s="231"/>
      <c r="T136" s="231"/>
      <c r="U136" s="231"/>
      <c r="V136" s="231"/>
      <c r="W136" s="231"/>
      <c r="X136" s="231"/>
      <c r="Y136" s="231"/>
      <c r="Z136" s="231"/>
      <c r="AA136" s="231"/>
      <c r="AB136" s="231"/>
      <c r="AC136" s="231"/>
      <c r="AD136" s="231"/>
      <c r="AE136" s="231"/>
      <c r="AF136" s="231"/>
      <c r="AG136" s="231"/>
      <c r="AH136" s="231"/>
      <c r="AI136" s="231"/>
      <c r="AJ136" s="231"/>
      <c r="AK136" s="231"/>
      <c r="AL136" s="231"/>
      <c r="AM136" s="231"/>
      <c r="AN136" s="231"/>
      <c r="AO136" s="155"/>
      <c r="AP136" s="1"/>
    </row>
    <row r="137" spans="2:43" ht="13" x14ac:dyDescent="0.2">
      <c r="B137" s="153"/>
      <c r="C137" s="154"/>
      <c r="D137" s="154"/>
      <c r="E137" s="154"/>
      <c r="F137" s="154"/>
      <c r="G137" s="231"/>
      <c r="H137" s="231"/>
      <c r="I137" s="231"/>
      <c r="J137" s="231"/>
      <c r="K137" s="231"/>
      <c r="L137" s="231"/>
      <c r="M137" s="231"/>
      <c r="N137" s="231"/>
      <c r="O137" s="231"/>
      <c r="P137" s="231"/>
      <c r="Q137" s="231"/>
      <c r="R137" s="231"/>
      <c r="S137" s="231"/>
      <c r="T137" s="231"/>
      <c r="U137" s="231"/>
      <c r="V137" s="231"/>
      <c r="W137" s="231"/>
      <c r="X137" s="231"/>
      <c r="Y137" s="231"/>
      <c r="Z137" s="231"/>
      <c r="AA137" s="231"/>
      <c r="AB137" s="231"/>
      <c r="AC137" s="231"/>
      <c r="AD137" s="231"/>
      <c r="AE137" s="231"/>
      <c r="AF137" s="231"/>
      <c r="AG137" s="231"/>
      <c r="AH137" s="231"/>
      <c r="AI137" s="231"/>
      <c r="AJ137" s="231"/>
      <c r="AK137" s="231"/>
      <c r="AL137" s="231"/>
      <c r="AM137" s="231"/>
      <c r="AN137" s="231"/>
      <c r="AO137" s="155"/>
      <c r="AP137" s="1"/>
    </row>
    <row r="138" spans="2:43" ht="14" x14ac:dyDescent="0.2">
      <c r="B138" s="153"/>
      <c r="C138" s="154"/>
      <c r="D138" s="154"/>
      <c r="E138" s="154"/>
      <c r="F138" s="1" t="s">
        <v>118</v>
      </c>
      <c r="G138" s="154"/>
      <c r="H138" s="154"/>
      <c r="J138" s="154"/>
      <c r="K138" s="154"/>
      <c r="L138" s="154"/>
      <c r="M138" s="143"/>
      <c r="O138" s="154"/>
      <c r="P138" s="154"/>
      <c r="Q138" s="154"/>
      <c r="R138" s="154"/>
      <c r="S138" s="154"/>
      <c r="T138" s="154"/>
      <c r="U138" s="154"/>
      <c r="V138" s="154"/>
      <c r="W138" s="154"/>
      <c r="X138" s="154"/>
      <c r="Y138" s="154"/>
      <c r="Z138" s="137"/>
      <c r="AA138" s="154"/>
      <c r="AB138" s="157"/>
      <c r="AC138" s="158"/>
      <c r="AD138" s="158"/>
      <c r="AE138" s="154"/>
      <c r="AF138" s="154"/>
      <c r="AG138" s="154"/>
      <c r="AH138" s="154"/>
      <c r="AI138" s="154"/>
      <c r="AJ138" s="154"/>
      <c r="AK138" s="154"/>
      <c r="AL138" s="154"/>
      <c r="AM138" s="154"/>
      <c r="AN138" s="154"/>
      <c r="AO138" s="155"/>
      <c r="AP138" s="1"/>
    </row>
    <row r="139" spans="2:43" ht="6" customHeight="1" x14ac:dyDescent="0.2">
      <c r="B139" s="159"/>
      <c r="C139" s="2"/>
      <c r="D139" s="2"/>
      <c r="E139" s="2"/>
      <c r="F139" s="2"/>
      <c r="G139" s="2"/>
      <c r="H139" s="2"/>
      <c r="I139" s="2"/>
      <c r="J139" s="2"/>
      <c r="K139" s="2"/>
      <c r="L139" s="2"/>
      <c r="M139" s="2"/>
      <c r="N139" s="2"/>
      <c r="O139" s="2"/>
      <c r="P139" s="2"/>
      <c r="Q139" s="2"/>
      <c r="R139" s="2"/>
      <c r="S139" s="2"/>
      <c r="T139" s="2"/>
      <c r="U139" s="2"/>
      <c r="V139" s="2"/>
      <c r="W139" s="2"/>
      <c r="X139" s="2"/>
      <c r="Y139" s="2"/>
      <c r="Z139" s="146"/>
      <c r="AA139" s="2"/>
      <c r="AB139" s="2"/>
      <c r="AC139" s="2"/>
      <c r="AD139" s="2"/>
      <c r="AE139" s="2"/>
      <c r="AF139" s="2"/>
      <c r="AG139" s="2"/>
      <c r="AH139" s="2"/>
      <c r="AI139" s="2"/>
      <c r="AJ139" s="2"/>
      <c r="AK139" s="2"/>
      <c r="AL139" s="2"/>
      <c r="AM139" s="2"/>
      <c r="AN139" s="2"/>
      <c r="AO139" s="160"/>
      <c r="AP139" s="1"/>
    </row>
    <row r="140" spans="2:43" ht="12" customHeight="1" thickBot="1" x14ac:dyDescent="0.25">
      <c r="B140" s="126"/>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8"/>
      <c r="AP140" s="1"/>
    </row>
    <row r="141" spans="2:43" s="15" customFormat="1" ht="18" customHeight="1" thickTop="1" thickBot="1" x14ac:dyDescent="0.25">
      <c r="B141" s="161"/>
      <c r="C141" s="162" t="s">
        <v>119</v>
      </c>
      <c r="D141" s="163"/>
      <c r="E141" s="163"/>
      <c r="F141" s="163" t="s">
        <v>120</v>
      </c>
      <c r="G141" s="163"/>
      <c r="H141" s="163"/>
      <c r="I141" s="163"/>
      <c r="J141" s="163"/>
      <c r="K141" s="163"/>
      <c r="L141" s="163"/>
      <c r="M141" s="163"/>
      <c r="N141" s="163"/>
      <c r="O141" s="163"/>
      <c r="P141" s="163"/>
      <c r="Q141" s="163"/>
      <c r="R141" s="163"/>
      <c r="S141" s="163"/>
      <c r="T141" s="163"/>
      <c r="U141" s="163"/>
      <c r="V141" s="163"/>
      <c r="W141" s="163"/>
      <c r="X141" s="163"/>
      <c r="Y141" s="163"/>
      <c r="Z141" s="163"/>
      <c r="AA141" s="163"/>
      <c r="AB141" s="163"/>
      <c r="AC141" s="163"/>
      <c r="AD141" s="163"/>
      <c r="AE141" s="163"/>
      <c r="AF141" s="163"/>
      <c r="AG141" s="163"/>
      <c r="AH141" s="163"/>
      <c r="AI141" s="163"/>
      <c r="AJ141" s="163"/>
      <c r="AK141" s="163"/>
      <c r="AL141" s="163"/>
      <c r="AM141" s="163"/>
      <c r="AN141" s="164"/>
      <c r="AO141" s="165"/>
    </row>
    <row r="142" spans="2:43" ht="12" customHeight="1" thickTop="1" x14ac:dyDescent="0.2">
      <c r="B142" s="153"/>
      <c r="C142" s="154"/>
      <c r="D142" s="154"/>
      <c r="E142" s="154"/>
      <c r="F142" s="154"/>
      <c r="G142" s="154"/>
      <c r="H142" s="154"/>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2"/>
      <c r="AP142" s="93"/>
      <c r="AQ142" s="94"/>
    </row>
    <row r="143" spans="2:43" ht="14" x14ac:dyDescent="0.2">
      <c r="B143" s="153"/>
      <c r="C143" s="154"/>
      <c r="D143" s="154" t="s">
        <v>121</v>
      </c>
      <c r="E143" s="154"/>
      <c r="F143" s="154"/>
      <c r="G143" s="154"/>
      <c r="H143" s="154"/>
      <c r="I143" s="93"/>
      <c r="J143" s="93"/>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2"/>
      <c r="AP143" s="93"/>
      <c r="AQ143" s="94"/>
    </row>
    <row r="144" spans="2:43" ht="6" customHeight="1" thickBot="1" x14ac:dyDescent="0.25">
      <c r="B144" s="153"/>
      <c r="C144" s="154"/>
      <c r="D144" s="154"/>
      <c r="E144" s="154"/>
      <c r="F144" s="154"/>
      <c r="G144" s="154"/>
      <c r="H144" s="154"/>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2"/>
      <c r="AP144" s="93"/>
      <c r="AQ144" s="94"/>
    </row>
    <row r="145" spans="2:43" ht="16.5" customHeight="1" thickBot="1" x14ac:dyDescent="0.25">
      <c r="B145" s="153"/>
      <c r="C145" s="154"/>
      <c r="D145" s="154"/>
      <c r="E145" s="326" t="s">
        <v>122</v>
      </c>
      <c r="F145" s="327"/>
      <c r="G145" s="327"/>
      <c r="H145" s="327"/>
      <c r="I145" s="328"/>
      <c r="J145" s="154" t="s">
        <v>123</v>
      </c>
      <c r="K145" s="154"/>
      <c r="L145" s="154"/>
      <c r="M145" s="154"/>
      <c r="N145" s="154"/>
      <c r="O145" s="154"/>
      <c r="P145" s="154"/>
      <c r="Q145" s="154"/>
      <c r="R145" s="154"/>
      <c r="S145" s="154"/>
      <c r="T145" s="154"/>
      <c r="U145" s="154"/>
      <c r="V145" s="154"/>
      <c r="W145" s="1" t="s">
        <v>124</v>
      </c>
      <c r="X145" s="154"/>
      <c r="Y145" s="154"/>
      <c r="Z145" s="154"/>
      <c r="AA145" s="154"/>
      <c r="AB145" s="154"/>
      <c r="AC145" s="154"/>
      <c r="AD145" s="154"/>
      <c r="AE145" s="154"/>
      <c r="AF145" s="154"/>
      <c r="AG145" s="154"/>
      <c r="AH145" s="154"/>
      <c r="AI145" s="154"/>
      <c r="AJ145" s="154"/>
      <c r="AK145" s="154"/>
      <c r="AL145" s="154"/>
      <c r="AM145" s="154"/>
      <c r="AN145" s="154"/>
      <c r="AO145" s="155"/>
      <c r="AP145" s="93"/>
      <c r="AQ145" s="94"/>
    </row>
    <row r="146" spans="2:43" ht="6" customHeight="1" x14ac:dyDescent="0.2">
      <c r="B146" s="91"/>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93"/>
      <c r="AH146" s="93"/>
      <c r="AI146" s="93"/>
      <c r="AJ146" s="93"/>
      <c r="AK146" s="93"/>
      <c r="AL146" s="93"/>
      <c r="AM146" s="93"/>
      <c r="AN146" s="93"/>
      <c r="AO146" s="92"/>
      <c r="AP146" s="93"/>
      <c r="AQ146" s="94"/>
    </row>
    <row r="147" spans="2:43" ht="12" customHeight="1" x14ac:dyDescent="0.2">
      <c r="B147" s="91"/>
      <c r="C147" s="93"/>
      <c r="D147" s="93"/>
      <c r="E147" s="93"/>
      <c r="F147" s="93"/>
      <c r="G147" s="329" t="s">
        <v>461</v>
      </c>
      <c r="H147" s="330"/>
      <c r="I147" s="330"/>
      <c r="J147" s="330"/>
      <c r="K147" s="330"/>
      <c r="L147" s="330"/>
      <c r="M147" s="330"/>
      <c r="N147" s="330"/>
      <c r="O147" s="330"/>
      <c r="P147" s="330"/>
      <c r="Q147" s="330"/>
      <c r="R147" s="330"/>
      <c r="S147" s="330"/>
      <c r="T147" s="330"/>
      <c r="U147" s="330"/>
      <c r="V147" s="330"/>
      <c r="W147" s="330"/>
      <c r="X147" s="330"/>
      <c r="Y147" s="330"/>
      <c r="Z147" s="330"/>
      <c r="AA147" s="330"/>
      <c r="AB147" s="330"/>
      <c r="AC147" s="330"/>
      <c r="AD147" s="330"/>
      <c r="AE147" s="330"/>
      <c r="AF147" s="330"/>
      <c r="AG147" s="330"/>
      <c r="AH147" s="330"/>
      <c r="AI147" s="330"/>
      <c r="AJ147" s="331"/>
      <c r="AK147" s="93"/>
      <c r="AL147" s="93"/>
      <c r="AM147" s="93"/>
      <c r="AN147" s="93"/>
      <c r="AO147" s="92"/>
      <c r="AP147" s="93"/>
      <c r="AQ147" s="94"/>
    </row>
    <row r="148" spans="2:43" ht="12" customHeight="1" x14ac:dyDescent="0.2">
      <c r="B148" s="91"/>
      <c r="C148" s="93"/>
      <c r="D148" s="93"/>
      <c r="E148" s="93"/>
      <c r="F148" s="93"/>
      <c r="G148" s="332"/>
      <c r="H148" s="333"/>
      <c r="I148" s="333"/>
      <c r="J148" s="333"/>
      <c r="K148" s="333"/>
      <c r="L148" s="333"/>
      <c r="M148" s="333"/>
      <c r="N148" s="333"/>
      <c r="O148" s="333"/>
      <c r="P148" s="333"/>
      <c r="Q148" s="333"/>
      <c r="R148" s="333"/>
      <c r="S148" s="333"/>
      <c r="T148" s="333"/>
      <c r="U148" s="333"/>
      <c r="V148" s="333"/>
      <c r="W148" s="333"/>
      <c r="X148" s="333"/>
      <c r="Y148" s="333"/>
      <c r="Z148" s="333"/>
      <c r="AA148" s="333"/>
      <c r="AB148" s="333"/>
      <c r="AC148" s="333"/>
      <c r="AD148" s="333"/>
      <c r="AE148" s="333"/>
      <c r="AF148" s="333"/>
      <c r="AG148" s="333"/>
      <c r="AH148" s="333"/>
      <c r="AI148" s="333"/>
      <c r="AJ148" s="334"/>
      <c r="AK148" s="93"/>
      <c r="AL148" s="93"/>
      <c r="AM148" s="93"/>
      <c r="AN148" s="93"/>
      <c r="AO148" s="92"/>
      <c r="AP148" s="93"/>
      <c r="AQ148" s="94"/>
    </row>
    <row r="149" spans="2:43" ht="12" customHeight="1" x14ac:dyDescent="0.2">
      <c r="B149" s="91"/>
      <c r="C149" s="93"/>
      <c r="D149" s="93"/>
      <c r="E149" s="93"/>
      <c r="F149" s="154"/>
      <c r="G149" s="335"/>
      <c r="H149" s="336"/>
      <c r="I149" s="336"/>
      <c r="J149" s="336"/>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6"/>
      <c r="AI149" s="336"/>
      <c r="AJ149" s="337"/>
      <c r="AK149" s="93"/>
      <c r="AL149" s="93"/>
      <c r="AM149" s="93"/>
      <c r="AN149" s="93"/>
      <c r="AO149" s="92"/>
      <c r="AP149" s="93"/>
      <c r="AQ149" s="94"/>
    </row>
    <row r="150" spans="2:43" ht="6" customHeight="1" thickBot="1" x14ac:dyDescent="0.25">
      <c r="B150" s="91"/>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2"/>
      <c r="AP150" s="93"/>
      <c r="AQ150" s="94"/>
    </row>
    <row r="151" spans="2:43" s="156" customFormat="1" ht="16.5" customHeight="1" thickBot="1" x14ac:dyDescent="0.25">
      <c r="B151" s="153"/>
      <c r="C151" s="154"/>
      <c r="D151" s="154"/>
      <c r="E151" s="326" t="s">
        <v>125</v>
      </c>
      <c r="F151" s="327"/>
      <c r="G151" s="327"/>
      <c r="H151" s="327"/>
      <c r="I151" s="328"/>
      <c r="J151" s="208" t="s">
        <v>126</v>
      </c>
      <c r="K151" s="154"/>
      <c r="L151" s="154"/>
      <c r="M151" s="154"/>
      <c r="N151" s="154"/>
      <c r="O151" s="154"/>
      <c r="P151" s="154"/>
      <c r="Q151" s="154"/>
      <c r="R151" s="154"/>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5"/>
      <c r="AP151" s="154"/>
    </row>
    <row r="152" spans="2:43" ht="6" customHeight="1" x14ac:dyDescent="0.2">
      <c r="B152" s="91"/>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2"/>
      <c r="AP152" s="93"/>
      <c r="AQ152" s="94"/>
    </row>
    <row r="153" spans="2:43" ht="16" customHeight="1" x14ac:dyDescent="0.2">
      <c r="B153" s="91"/>
      <c r="C153" s="93"/>
      <c r="F153" s="93"/>
      <c r="G153" s="1" t="s">
        <v>127</v>
      </c>
      <c r="H153" s="1"/>
      <c r="J153" s="1"/>
      <c r="K153" s="1"/>
      <c r="L153" s="1"/>
      <c r="N153" s="1"/>
      <c r="O153" s="1" t="s">
        <v>128</v>
      </c>
      <c r="R153" s="1"/>
      <c r="S153" s="1"/>
      <c r="T153" s="1"/>
      <c r="V153" s="1"/>
      <c r="W153" s="1" t="s">
        <v>129</v>
      </c>
      <c r="Y153" s="1"/>
      <c r="Z153" s="1"/>
      <c r="AA153" s="1"/>
      <c r="AD153" s="1" t="s">
        <v>130</v>
      </c>
      <c r="AE153" s="1"/>
      <c r="AF153" s="1"/>
      <c r="AH153" s="1"/>
      <c r="AK153" s="1"/>
      <c r="AL153" s="1"/>
      <c r="AM153" s="1"/>
      <c r="AN153" s="1"/>
      <c r="AO153" s="14"/>
      <c r="AP153" s="1"/>
    </row>
    <row r="154" spans="2:43" ht="16" customHeight="1" x14ac:dyDescent="0.2">
      <c r="B154" s="91"/>
      <c r="C154" s="93"/>
      <c r="D154" s="93"/>
      <c r="E154" s="1"/>
      <c r="G154" s="1" t="s">
        <v>131</v>
      </c>
      <c r="H154" s="1"/>
      <c r="I154" s="1"/>
      <c r="J154" s="1"/>
      <c r="K154" s="1"/>
      <c r="L154" s="1"/>
      <c r="N154" s="93"/>
      <c r="O154" s="1" t="s">
        <v>132</v>
      </c>
      <c r="P154" s="1"/>
      <c r="Q154" s="1"/>
      <c r="R154" s="1"/>
      <c r="S154" s="1"/>
      <c r="T154" s="1"/>
      <c r="W154" s="1"/>
      <c r="X154" s="1"/>
      <c r="Y154" s="1"/>
      <c r="Z154" s="1"/>
      <c r="AB154" s="1"/>
      <c r="AC154" s="1"/>
      <c r="AD154" s="1" t="s">
        <v>133</v>
      </c>
      <c r="AE154" s="1"/>
      <c r="AF154" s="1"/>
      <c r="AH154" s="1"/>
      <c r="AJ154" s="121"/>
      <c r="AK154" s="1"/>
      <c r="AL154" s="1"/>
      <c r="AM154" s="1"/>
      <c r="AN154" s="1"/>
      <c r="AO154" s="14"/>
      <c r="AP154" s="1"/>
    </row>
    <row r="155" spans="2:43" ht="16" customHeight="1" x14ac:dyDescent="0.2">
      <c r="B155" s="91"/>
      <c r="C155" s="93"/>
      <c r="D155" s="93"/>
      <c r="E155" s="1"/>
      <c r="G155" s="1" t="s">
        <v>134</v>
      </c>
      <c r="H155" s="1"/>
      <c r="I155" s="1"/>
      <c r="J155" s="1"/>
      <c r="K155" s="1"/>
      <c r="L155" s="1"/>
      <c r="M155" s="1"/>
      <c r="N155" s="1"/>
      <c r="O155" s="1" t="s">
        <v>135</v>
      </c>
      <c r="P155" s="1"/>
      <c r="R155" s="1"/>
      <c r="S155" s="1"/>
      <c r="V155" s="1"/>
      <c r="W155" s="1" t="s">
        <v>136</v>
      </c>
      <c r="X155" s="1"/>
      <c r="AC155" s="1"/>
      <c r="AD155" s="1"/>
      <c r="AE155" s="1"/>
      <c r="AF155" s="1"/>
      <c r="AL155" s="1"/>
      <c r="AM155" s="1"/>
      <c r="AN155" s="1"/>
      <c r="AO155" s="14"/>
      <c r="AP155" s="1"/>
    </row>
    <row r="156" spans="2:43" ht="12" customHeight="1" x14ac:dyDescent="0.2">
      <c r="B156" s="91"/>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2"/>
      <c r="AP156" s="93"/>
      <c r="AQ156" s="94"/>
    </row>
    <row r="157" spans="2:43" ht="14" x14ac:dyDescent="0.2">
      <c r="B157" s="91"/>
      <c r="C157" s="93"/>
      <c r="D157" s="93" t="s">
        <v>137</v>
      </c>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2"/>
      <c r="AP157" s="93"/>
      <c r="AQ157" s="94"/>
    </row>
    <row r="158" spans="2:43" ht="6" customHeight="1" thickBot="1" x14ac:dyDescent="0.25">
      <c r="B158" s="91"/>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2"/>
      <c r="AP158" s="93"/>
      <c r="AQ158" s="94"/>
    </row>
    <row r="159" spans="2:43" s="156" customFormat="1" ht="16.5" customHeight="1" thickBot="1" x14ac:dyDescent="0.25">
      <c r="B159" s="153"/>
      <c r="C159" s="154"/>
      <c r="D159" s="154"/>
      <c r="E159" s="326" t="s">
        <v>138</v>
      </c>
      <c r="F159" s="327"/>
      <c r="G159" s="327"/>
      <c r="H159" s="327"/>
      <c r="I159" s="328"/>
      <c r="J159" s="154"/>
      <c r="K159" s="154"/>
      <c r="L159" s="154"/>
      <c r="M159" s="154"/>
      <c r="N159" s="154"/>
      <c r="O159" s="154"/>
      <c r="P159" s="154"/>
      <c r="Q159" s="154"/>
      <c r="R159" s="154"/>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5"/>
      <c r="AP159" s="154"/>
    </row>
    <row r="160" spans="2:43" ht="6" customHeight="1" x14ac:dyDescent="0.2">
      <c r="B160" s="11"/>
      <c r="C160" s="1"/>
      <c r="D160" s="1"/>
      <c r="E160" s="154"/>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4"/>
      <c r="AP160" s="1"/>
    </row>
    <row r="161" spans="2:42" ht="15" customHeight="1" x14ac:dyDescent="0.2">
      <c r="B161" s="11"/>
      <c r="C161" s="1"/>
      <c r="D161" s="1"/>
      <c r="E161" s="1"/>
      <c r="F161" s="1"/>
      <c r="G161" s="1" t="s">
        <v>139</v>
      </c>
      <c r="H161" s="1"/>
      <c r="I161" s="1"/>
      <c r="J161" s="1"/>
      <c r="K161" s="1"/>
      <c r="L161" s="1"/>
      <c r="M161" s="1"/>
      <c r="N161" s="1"/>
      <c r="O161" s="1"/>
      <c r="P161" s="1"/>
      <c r="Q161" s="1"/>
      <c r="R161" s="1"/>
      <c r="S161" s="1"/>
      <c r="T161" s="1" t="s">
        <v>140</v>
      </c>
      <c r="U161" s="1"/>
      <c r="V161" s="1"/>
      <c r="W161" s="1"/>
      <c r="X161" s="1"/>
      <c r="Y161" s="1"/>
      <c r="Z161" s="1"/>
      <c r="AA161" s="1"/>
      <c r="AB161" s="1"/>
      <c r="AC161" s="1"/>
      <c r="AD161" s="1"/>
      <c r="AE161" s="1"/>
      <c r="AF161" s="1"/>
      <c r="AG161" s="1"/>
      <c r="AH161" s="1"/>
      <c r="AI161" s="1"/>
      <c r="AJ161" s="1"/>
      <c r="AK161" s="1"/>
      <c r="AL161" s="1"/>
      <c r="AM161" s="1"/>
      <c r="AN161" s="1"/>
      <c r="AO161" s="14"/>
      <c r="AP161" s="1"/>
    </row>
    <row r="162" spans="2:42" ht="3" customHeight="1" x14ac:dyDescent="0.2">
      <c r="B162" s="1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4"/>
      <c r="AP162" s="1"/>
    </row>
    <row r="163" spans="2:42" ht="15" customHeight="1" x14ac:dyDescent="0.2">
      <c r="B163" s="11"/>
      <c r="C163" s="1"/>
      <c r="D163" s="1"/>
      <c r="E163" s="1"/>
      <c r="F163" s="1"/>
      <c r="G163" s="1" t="s">
        <v>141</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4"/>
      <c r="AP163" s="1"/>
    </row>
    <row r="164" spans="2:42" ht="15" customHeight="1" x14ac:dyDescent="0.2">
      <c r="B164" s="11"/>
      <c r="C164" s="1"/>
      <c r="D164" s="1"/>
      <c r="E164" s="1"/>
      <c r="F164" s="1" t="s">
        <v>142</v>
      </c>
      <c r="G164" s="121"/>
      <c r="H164" s="1" t="s">
        <v>143</v>
      </c>
      <c r="J164" s="194">
        <v>7</v>
      </c>
      <c r="K164" s="1" t="s">
        <v>29</v>
      </c>
      <c r="L164" s="194">
        <v>10</v>
      </c>
      <c r="M164" s="1" t="s">
        <v>30</v>
      </c>
      <c r="N164" s="1" t="s">
        <v>144</v>
      </c>
      <c r="O164" s="1"/>
      <c r="P164" s="194">
        <v>8</v>
      </c>
      <c r="Q164" s="1" t="s">
        <v>29</v>
      </c>
      <c r="R164" s="194">
        <v>3</v>
      </c>
      <c r="S164" s="1" t="s">
        <v>30</v>
      </c>
      <c r="T164" s="1" t="s">
        <v>145</v>
      </c>
      <c r="U164" s="1"/>
      <c r="V164" s="1"/>
      <c r="W164" s="1" t="s">
        <v>146</v>
      </c>
      <c r="X164" s="1"/>
      <c r="Y164" s="1"/>
      <c r="Z164" s="1"/>
      <c r="AA164" s="1" t="s">
        <v>147</v>
      </c>
      <c r="AB164" s="1" t="s">
        <v>148</v>
      </c>
      <c r="AC164" s="1"/>
      <c r="AD164" s="1"/>
      <c r="AE164" s="194">
        <v>3</v>
      </c>
      <c r="AF164" s="1" t="s">
        <v>149</v>
      </c>
      <c r="AG164" s="1"/>
      <c r="AH164" s="1" t="s">
        <v>150</v>
      </c>
      <c r="AI164" s="1"/>
      <c r="AJ164" s="1"/>
      <c r="AK164" s="1" t="s">
        <v>151</v>
      </c>
      <c r="AL164" s="1"/>
      <c r="AM164" s="1"/>
      <c r="AN164" s="1"/>
      <c r="AO164" s="14"/>
      <c r="AP164" s="1"/>
    </row>
    <row r="165" spans="2:42" ht="3" customHeight="1" x14ac:dyDescent="0.2">
      <c r="B165" s="11"/>
      <c r="C165" s="1"/>
      <c r="D165" s="1"/>
      <c r="E165" s="1"/>
      <c r="F165" s="166"/>
      <c r="G165" s="166"/>
      <c r="H165" s="146"/>
      <c r="I165" s="146"/>
      <c r="J165" s="146"/>
      <c r="K165" s="146"/>
      <c r="L165" s="146"/>
      <c r="M165" s="146"/>
      <c r="N165" s="146"/>
      <c r="O165" s="146"/>
      <c r="P165" s="146"/>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
      <c r="AM165" s="1"/>
      <c r="AN165" s="1"/>
      <c r="AO165" s="14"/>
      <c r="AP165" s="1"/>
    </row>
    <row r="166" spans="2:42" ht="3" customHeight="1" x14ac:dyDescent="0.2">
      <c r="B166" s="11"/>
      <c r="C166" s="1"/>
      <c r="D166" s="1"/>
      <c r="E166" s="1"/>
      <c r="F166" s="1"/>
      <c r="G166" s="12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4"/>
      <c r="AP166" s="1"/>
    </row>
    <row r="167" spans="2:42" ht="15" customHeight="1" x14ac:dyDescent="0.2">
      <c r="B167" s="11"/>
      <c r="C167" s="1"/>
      <c r="D167" s="1"/>
      <c r="E167" s="1"/>
      <c r="F167" s="1"/>
      <c r="G167" s="1" t="s">
        <v>152</v>
      </c>
      <c r="H167" s="1"/>
      <c r="I167" s="1"/>
      <c r="J167" s="1"/>
      <c r="K167" s="1"/>
      <c r="L167" s="1"/>
      <c r="M167" s="1"/>
      <c r="N167" s="1"/>
      <c r="O167" s="1"/>
      <c r="P167" s="1" t="s">
        <v>153</v>
      </c>
      <c r="Q167" s="1"/>
      <c r="R167" s="1"/>
      <c r="S167" s="1"/>
      <c r="T167" s="1"/>
      <c r="U167" s="1"/>
      <c r="V167" s="1"/>
      <c r="W167" s="1"/>
      <c r="X167" s="1"/>
      <c r="Y167" s="1" t="s">
        <v>154</v>
      </c>
      <c r="AA167" s="1"/>
      <c r="AB167" s="1"/>
      <c r="AC167" s="1"/>
      <c r="AD167" s="1"/>
      <c r="AE167" s="1"/>
      <c r="AF167" s="1"/>
      <c r="AG167" s="1"/>
      <c r="AH167" s="1"/>
      <c r="AI167" s="1"/>
      <c r="AJ167" s="1"/>
      <c r="AL167" s="1"/>
      <c r="AM167" s="1"/>
      <c r="AN167" s="1"/>
      <c r="AO167" s="14"/>
      <c r="AP167" s="1"/>
    </row>
    <row r="168" spans="2:42" x14ac:dyDescent="0.2">
      <c r="B168" s="11"/>
      <c r="C168" s="1"/>
      <c r="D168" s="1"/>
      <c r="E168" s="1"/>
      <c r="F168" s="1"/>
      <c r="G168" s="1"/>
      <c r="H168" s="1"/>
      <c r="I168" s="1"/>
      <c r="J168" s="1"/>
      <c r="K168" s="1"/>
      <c r="L168" s="1"/>
      <c r="M168" s="1"/>
      <c r="N168" s="1"/>
      <c r="O168" s="1"/>
      <c r="P168" s="1"/>
      <c r="Q168" s="1"/>
      <c r="R168" s="1"/>
      <c r="S168" s="1"/>
      <c r="T168" s="1"/>
      <c r="U168" s="1"/>
      <c r="V168" s="1"/>
      <c r="W168" s="1"/>
      <c r="X168" s="1"/>
      <c r="Z168" s="111" t="s">
        <v>155</v>
      </c>
      <c r="AA168" s="1"/>
      <c r="AB168" s="1"/>
      <c r="AC168" s="1"/>
      <c r="AD168" s="1"/>
      <c r="AE168" s="1"/>
      <c r="AF168" s="1"/>
      <c r="AG168" s="1"/>
      <c r="AH168" s="1"/>
      <c r="AI168" s="1"/>
      <c r="AJ168" s="1"/>
      <c r="AL168" s="1"/>
      <c r="AM168" s="1"/>
      <c r="AN168" s="1"/>
      <c r="AO168" s="14"/>
      <c r="AP168" s="1"/>
    </row>
    <row r="169" spans="2:42" ht="6" customHeight="1" thickBot="1" x14ac:dyDescent="0.25">
      <c r="B169" s="1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4"/>
      <c r="AP169" s="1"/>
    </row>
    <row r="170" spans="2:42" s="156" customFormat="1" ht="16.5" customHeight="1" thickBot="1" x14ac:dyDescent="0.25">
      <c r="B170" s="153"/>
      <c r="C170" s="154"/>
      <c r="D170" s="154"/>
      <c r="E170" s="326" t="s">
        <v>156</v>
      </c>
      <c r="F170" s="327"/>
      <c r="G170" s="327"/>
      <c r="H170" s="327"/>
      <c r="I170" s="328"/>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5"/>
      <c r="AP170" s="154"/>
    </row>
    <row r="171" spans="2:42" ht="12" customHeight="1" thickBot="1" x14ac:dyDescent="0.25">
      <c r="B171" s="11"/>
      <c r="C171" s="1"/>
      <c r="D171" s="1"/>
      <c r="E171" s="154"/>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4"/>
      <c r="AP171" s="1"/>
    </row>
    <row r="172" spans="2:42" ht="5.15" customHeight="1" x14ac:dyDescent="0.2">
      <c r="B172" s="11"/>
      <c r="C172" s="1"/>
      <c r="D172" s="1"/>
      <c r="E172" s="167"/>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c r="AH172" s="168"/>
      <c r="AI172" s="168"/>
      <c r="AJ172" s="168"/>
      <c r="AK172" s="168"/>
      <c r="AL172" s="168"/>
      <c r="AM172" s="168"/>
      <c r="AN172" s="169"/>
      <c r="AO172" s="14"/>
      <c r="AP172" s="1"/>
    </row>
    <row r="173" spans="2:42" ht="13" x14ac:dyDescent="0.2">
      <c r="B173" s="11"/>
      <c r="C173" s="1"/>
      <c r="D173" s="1"/>
      <c r="E173" s="204" t="s">
        <v>157</v>
      </c>
      <c r="G173" s="1"/>
      <c r="H173" s="1"/>
      <c r="I173" s="1"/>
      <c r="J173" s="1"/>
      <c r="K173" s="1"/>
      <c r="L173" s="1"/>
      <c r="M173" s="1"/>
      <c r="N173" s="1"/>
      <c r="O173" s="1"/>
      <c r="P173" s="1"/>
      <c r="Q173" s="1"/>
      <c r="R173" s="1"/>
      <c r="S173" s="1"/>
      <c r="T173" s="1"/>
      <c r="U173" s="1"/>
      <c r="V173" s="1"/>
      <c r="W173" s="1"/>
      <c r="X173" s="1"/>
      <c r="Y173" s="1"/>
      <c r="Z173" s="1"/>
      <c r="AA173" s="1"/>
      <c r="AB173" s="1"/>
      <c r="AC173" s="1"/>
      <c r="AF173" s="1"/>
      <c r="AG173" s="1"/>
      <c r="AH173" s="1"/>
      <c r="AI173" s="1"/>
      <c r="AJ173" s="1"/>
      <c r="AK173" s="1"/>
      <c r="AL173" s="1"/>
      <c r="AM173" s="1"/>
      <c r="AN173" s="13"/>
      <c r="AO173" s="14"/>
      <c r="AP173" s="1"/>
    </row>
    <row r="174" spans="2:42" ht="6" customHeight="1" x14ac:dyDescent="0.2">
      <c r="B174" s="11"/>
      <c r="C174" s="1"/>
      <c r="D174" s="1"/>
      <c r="E174" s="12"/>
      <c r="F174" s="154"/>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3"/>
      <c r="AO174" s="14"/>
      <c r="AP174" s="1"/>
    </row>
    <row r="175" spans="2:42" ht="12.5" x14ac:dyDescent="0.2">
      <c r="B175" s="11"/>
      <c r="C175" s="1"/>
      <c r="D175" s="1"/>
      <c r="E175" s="12"/>
      <c r="F175" s="135" t="s">
        <v>158</v>
      </c>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3"/>
      <c r="AO175" s="14"/>
      <c r="AP175" s="1"/>
    </row>
    <row r="176" spans="2:42" ht="15" customHeight="1" x14ac:dyDescent="0.2">
      <c r="B176" s="11"/>
      <c r="C176" s="1"/>
      <c r="D176" s="1"/>
      <c r="E176" s="12"/>
      <c r="F176" s="1"/>
      <c r="G176" s="1"/>
      <c r="H176" s="1" t="s">
        <v>159</v>
      </c>
      <c r="I176" s="1"/>
      <c r="J176" s="1"/>
      <c r="L176" s="1"/>
      <c r="M176" s="1" t="s">
        <v>160</v>
      </c>
      <c r="N176" s="1"/>
      <c r="O176" s="1"/>
      <c r="P176" s="1"/>
      <c r="R176" s="1"/>
      <c r="S176" s="1" t="s">
        <v>161</v>
      </c>
      <c r="T176" s="1"/>
      <c r="U176" s="1"/>
      <c r="W176" s="1"/>
      <c r="X176" s="1" t="s">
        <v>162</v>
      </c>
      <c r="Y176" s="1"/>
      <c r="Z176" s="1"/>
      <c r="AA176" s="1"/>
      <c r="AB176" s="1"/>
      <c r="AC176" s="1" t="s">
        <v>163</v>
      </c>
      <c r="AG176" s="1"/>
      <c r="AH176" s="1" t="s">
        <v>164</v>
      </c>
      <c r="AI176" s="170"/>
      <c r="AN176" s="171"/>
      <c r="AO176" s="172"/>
      <c r="AP176" s="1"/>
    </row>
    <row r="177" spans="2:42" ht="3" customHeight="1" x14ac:dyDescent="0.2">
      <c r="B177" s="11"/>
      <c r="C177" s="1"/>
      <c r="D177" s="1"/>
      <c r="E177" s="12"/>
      <c r="F177" s="1"/>
      <c r="G177" s="1"/>
      <c r="H177" s="1"/>
      <c r="I177" s="1"/>
      <c r="J177" s="1"/>
      <c r="L177" s="1"/>
      <c r="M177" s="1"/>
      <c r="N177" s="1"/>
      <c r="O177" s="1"/>
      <c r="P177" s="1"/>
      <c r="R177" s="1"/>
      <c r="S177" s="1"/>
      <c r="T177" s="1"/>
      <c r="U177" s="1"/>
      <c r="W177" s="1"/>
      <c r="X177" s="1"/>
      <c r="Y177" s="1"/>
      <c r="Z177" s="1"/>
      <c r="AA177" s="1"/>
      <c r="AB177" s="1"/>
      <c r="AC177" s="1"/>
      <c r="AG177" s="1"/>
      <c r="AH177" s="1"/>
      <c r="AI177" s="170"/>
      <c r="AN177" s="171"/>
      <c r="AO177" s="172"/>
      <c r="AP177" s="1"/>
    </row>
    <row r="178" spans="2:42" ht="15" customHeight="1" x14ac:dyDescent="0.2">
      <c r="B178" s="11"/>
      <c r="C178" s="1"/>
      <c r="D178" s="1"/>
      <c r="E178" s="12"/>
      <c r="F178" s="1"/>
      <c r="G178" s="1"/>
      <c r="H178" s="1" t="s">
        <v>165</v>
      </c>
      <c r="I178" s="1"/>
      <c r="J178" s="1"/>
      <c r="K178" s="1"/>
      <c r="L178" s="1" t="s">
        <v>78</v>
      </c>
      <c r="M178" s="316"/>
      <c r="N178" s="317"/>
      <c r="O178" s="317"/>
      <c r="P178" s="317"/>
      <c r="Q178" s="317"/>
      <c r="R178" s="324"/>
      <c r="S178" s="324"/>
      <c r="T178" s="324"/>
      <c r="U178" s="324"/>
      <c r="V178" s="324"/>
      <c r="W178" s="324"/>
      <c r="X178" s="324"/>
      <c r="Y178" s="324"/>
      <c r="Z178" s="324"/>
      <c r="AA178" s="324"/>
      <c r="AB178" s="324"/>
      <c r="AC178" s="324"/>
      <c r="AD178" s="324"/>
      <c r="AE178" s="324"/>
      <c r="AF178" s="324"/>
      <c r="AG178" s="325"/>
      <c r="AH178" s="1" t="s">
        <v>79</v>
      </c>
      <c r="AI178" s="170"/>
      <c r="AJ178" s="173"/>
      <c r="AK178" s="173"/>
      <c r="AL178" s="173"/>
      <c r="AM178" s="173"/>
      <c r="AN178" s="174"/>
      <c r="AO178" s="172"/>
      <c r="AP178" s="1"/>
    </row>
    <row r="179" spans="2:42" ht="6" customHeight="1" x14ac:dyDescent="0.2">
      <c r="B179" s="11"/>
      <c r="C179" s="1"/>
      <c r="D179" s="1"/>
      <c r="E179" s="12"/>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70"/>
      <c r="AJ179" s="170"/>
      <c r="AK179" s="170"/>
      <c r="AL179" s="170"/>
      <c r="AM179" s="170"/>
      <c r="AN179" s="175"/>
      <c r="AO179" s="172"/>
      <c r="AP179" s="1"/>
    </row>
    <row r="180" spans="2:42" ht="12.5" x14ac:dyDescent="0.2">
      <c r="B180" s="11"/>
      <c r="C180" s="1"/>
      <c r="D180" s="1"/>
      <c r="E180" s="12"/>
      <c r="F180" s="135" t="s">
        <v>166</v>
      </c>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3"/>
      <c r="AO180" s="14"/>
      <c r="AP180" s="1"/>
    </row>
    <row r="181" spans="2:42" ht="15" customHeight="1" x14ac:dyDescent="0.2">
      <c r="B181" s="11"/>
      <c r="C181" s="1"/>
      <c r="D181" s="1"/>
      <c r="E181" s="12"/>
      <c r="F181" s="1"/>
      <c r="G181" s="1"/>
      <c r="H181" s="1" t="s">
        <v>167</v>
      </c>
      <c r="I181" s="1"/>
      <c r="J181" s="1"/>
      <c r="K181" s="1"/>
      <c r="L181" s="1"/>
      <c r="M181" s="1"/>
      <c r="N181" s="1"/>
      <c r="O181" s="1"/>
      <c r="P181" s="1"/>
      <c r="Q181" s="1"/>
      <c r="R181" s="1"/>
      <c r="U181" s="1"/>
      <c r="V181" s="1" t="s">
        <v>168</v>
      </c>
      <c r="X181" s="1"/>
      <c r="Y181" s="1"/>
      <c r="Z181" s="1"/>
      <c r="AA181" s="1"/>
      <c r="AB181" s="1"/>
      <c r="AC181" s="1"/>
      <c r="AD181" s="1"/>
      <c r="AE181" s="1"/>
      <c r="AF181" s="1"/>
      <c r="AG181" s="1"/>
      <c r="AH181" s="1"/>
      <c r="AI181" s="1"/>
      <c r="AJ181" s="1"/>
      <c r="AK181" s="1"/>
      <c r="AL181" s="1"/>
      <c r="AM181" s="1"/>
      <c r="AN181" s="13"/>
      <c r="AO181" s="14"/>
      <c r="AP181" s="1"/>
    </row>
    <row r="182" spans="2:42" ht="6" customHeight="1" x14ac:dyDescent="0.2">
      <c r="B182" s="11"/>
      <c r="C182" s="1"/>
      <c r="D182" s="1"/>
      <c r="E182" s="12"/>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3"/>
      <c r="AO182" s="14"/>
      <c r="AP182" s="1"/>
    </row>
    <row r="183" spans="2:42" ht="13.5" customHeight="1" x14ac:dyDescent="0.2">
      <c r="B183" s="11"/>
      <c r="C183" s="1"/>
      <c r="D183" s="1"/>
      <c r="E183" s="204" t="s">
        <v>169</v>
      </c>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3"/>
      <c r="AO183" s="14"/>
      <c r="AP183" s="1"/>
    </row>
    <row r="184" spans="2:42" ht="6" customHeight="1" x14ac:dyDescent="0.2">
      <c r="B184" s="11"/>
      <c r="C184" s="1"/>
      <c r="D184" s="1"/>
      <c r="E184" s="12"/>
      <c r="F184" s="154"/>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3"/>
      <c r="AO184" s="14"/>
      <c r="AP184" s="1"/>
    </row>
    <row r="185" spans="2:42" ht="15" customHeight="1" x14ac:dyDescent="0.2">
      <c r="B185" s="11"/>
      <c r="C185" s="1"/>
      <c r="D185" s="1"/>
      <c r="E185" s="12"/>
      <c r="F185" s="1"/>
      <c r="G185" s="1"/>
      <c r="H185" s="1" t="s">
        <v>170</v>
      </c>
      <c r="I185" s="1"/>
      <c r="J185" s="1"/>
      <c r="K185" s="1"/>
      <c r="L185" s="1"/>
      <c r="M185" s="1"/>
      <c r="N185" s="1"/>
      <c r="O185" s="1"/>
      <c r="P185" s="1"/>
      <c r="Q185" s="1"/>
      <c r="R185" s="1"/>
      <c r="S185" s="1"/>
      <c r="T185" s="1" t="s">
        <v>171</v>
      </c>
      <c r="U185" s="301"/>
      <c r="V185" s="302"/>
      <c r="W185" s="302"/>
      <c r="X185" s="302"/>
      <c r="Y185" s="302"/>
      <c r="Z185" s="302"/>
      <c r="AA185" s="302"/>
      <c r="AB185" s="302"/>
      <c r="AC185" s="302"/>
      <c r="AD185" s="302"/>
      <c r="AE185" s="302"/>
      <c r="AF185" s="302"/>
      <c r="AG185" s="302"/>
      <c r="AH185" s="302"/>
      <c r="AI185" s="302"/>
      <c r="AJ185" s="302"/>
      <c r="AK185" s="302"/>
      <c r="AL185" s="302"/>
      <c r="AM185" s="303"/>
      <c r="AN185" s="176" t="s">
        <v>79</v>
      </c>
      <c r="AO185" s="14"/>
      <c r="AP185" s="1"/>
    </row>
    <row r="186" spans="2:42" ht="3" customHeight="1" x14ac:dyDescent="0.2">
      <c r="B186" s="11"/>
      <c r="C186" s="1"/>
      <c r="D186" s="1"/>
      <c r="E186" s="12"/>
      <c r="F186" s="1"/>
      <c r="G186" s="1"/>
      <c r="H186" s="1"/>
      <c r="I186" s="1"/>
      <c r="J186" s="1"/>
      <c r="K186" s="1"/>
      <c r="L186" s="1"/>
      <c r="M186" s="1"/>
      <c r="N186" s="1"/>
      <c r="O186" s="1"/>
      <c r="P186" s="1"/>
      <c r="Q186" s="1"/>
      <c r="R186" s="1"/>
      <c r="S186" s="1"/>
      <c r="T186" s="1"/>
      <c r="U186" s="177"/>
      <c r="V186" s="177"/>
      <c r="W186" s="177"/>
      <c r="X186" s="177"/>
      <c r="Y186" s="177"/>
      <c r="Z186" s="177"/>
      <c r="AA186" s="177"/>
      <c r="AB186" s="177"/>
      <c r="AC186" s="177"/>
      <c r="AD186" s="177"/>
      <c r="AE186" s="177"/>
      <c r="AF186" s="177"/>
      <c r="AG186" s="177"/>
      <c r="AH186" s="177"/>
      <c r="AI186" s="177"/>
      <c r="AJ186" s="177"/>
      <c r="AK186" s="177"/>
      <c r="AL186" s="177"/>
      <c r="AM186" s="177"/>
      <c r="AN186" s="176"/>
      <c r="AO186" s="14"/>
      <c r="AP186" s="1"/>
    </row>
    <row r="187" spans="2:42" ht="15" customHeight="1" x14ac:dyDescent="0.2">
      <c r="B187" s="11"/>
      <c r="C187" s="1"/>
      <c r="D187" s="1"/>
      <c r="E187" s="12"/>
      <c r="G187" s="1"/>
      <c r="H187" s="1" t="s">
        <v>172</v>
      </c>
      <c r="I187" s="1"/>
      <c r="J187" s="1"/>
      <c r="K187" s="1"/>
      <c r="L187" s="1"/>
      <c r="M187" s="1"/>
      <c r="N187" s="1"/>
      <c r="O187" s="1"/>
      <c r="P187" s="1"/>
      <c r="Q187" s="1"/>
      <c r="R187" s="1"/>
      <c r="S187" s="1"/>
      <c r="T187" s="1" t="s">
        <v>171</v>
      </c>
      <c r="U187" s="301"/>
      <c r="V187" s="302"/>
      <c r="W187" s="302"/>
      <c r="X187" s="302"/>
      <c r="Y187" s="302"/>
      <c r="Z187" s="302"/>
      <c r="AA187" s="302"/>
      <c r="AB187" s="302"/>
      <c r="AC187" s="302"/>
      <c r="AD187" s="302"/>
      <c r="AE187" s="302"/>
      <c r="AF187" s="302"/>
      <c r="AG187" s="302"/>
      <c r="AH187" s="302"/>
      <c r="AI187" s="302"/>
      <c r="AJ187" s="302"/>
      <c r="AK187" s="302"/>
      <c r="AL187" s="302"/>
      <c r="AM187" s="303"/>
      <c r="AN187" s="176" t="s">
        <v>79</v>
      </c>
      <c r="AO187" s="14"/>
      <c r="AP187" s="1"/>
    </row>
    <row r="188" spans="2:42" ht="3" customHeight="1" x14ac:dyDescent="0.2">
      <c r="B188" s="11"/>
      <c r="C188" s="1"/>
      <c r="D188" s="1"/>
      <c r="E188" s="12"/>
      <c r="G188" s="1"/>
      <c r="H188" s="1"/>
      <c r="I188" s="1"/>
      <c r="J188" s="1"/>
      <c r="K188" s="1"/>
      <c r="L188" s="1"/>
      <c r="M188" s="1"/>
      <c r="N188" s="1"/>
      <c r="O188" s="1"/>
      <c r="P188" s="1"/>
      <c r="Q188" s="1"/>
      <c r="R188" s="1"/>
      <c r="S188" s="1"/>
      <c r="T188" s="1"/>
      <c r="U188" s="177"/>
      <c r="V188" s="177"/>
      <c r="W188" s="177"/>
      <c r="X188" s="177"/>
      <c r="Y188" s="177"/>
      <c r="Z188" s="177"/>
      <c r="AA188" s="177"/>
      <c r="AB188" s="177"/>
      <c r="AC188" s="177"/>
      <c r="AD188" s="177"/>
      <c r="AE188" s="177"/>
      <c r="AF188" s="177"/>
      <c r="AG188" s="143"/>
      <c r="AH188" s="143"/>
      <c r="AI188" s="143"/>
      <c r="AJ188" s="143"/>
      <c r="AK188" s="143"/>
      <c r="AL188" s="143"/>
      <c r="AM188" s="143"/>
      <c r="AN188" s="176"/>
      <c r="AO188" s="14"/>
      <c r="AP188" s="1"/>
    </row>
    <row r="189" spans="2:42" ht="15" customHeight="1" x14ac:dyDescent="0.2">
      <c r="B189" s="11"/>
      <c r="C189" s="1"/>
      <c r="D189" s="1"/>
      <c r="E189" s="12"/>
      <c r="F189" s="1"/>
      <c r="G189" s="1"/>
      <c r="H189" s="1" t="s">
        <v>173</v>
      </c>
      <c r="I189" s="1"/>
      <c r="J189" s="1"/>
      <c r="K189" s="1"/>
      <c r="L189" s="1"/>
      <c r="M189" s="109" t="s">
        <v>78</v>
      </c>
      <c r="N189" s="301"/>
      <c r="O189" s="302"/>
      <c r="P189" s="302"/>
      <c r="Q189" s="302"/>
      <c r="R189" s="302"/>
      <c r="S189" s="302"/>
      <c r="T189" s="302"/>
      <c r="U189" s="302"/>
      <c r="V189" s="302"/>
      <c r="W189" s="302"/>
      <c r="X189" s="302"/>
      <c r="Y189" s="302"/>
      <c r="Z189" s="302"/>
      <c r="AA189" s="302"/>
      <c r="AB189" s="302"/>
      <c r="AC189" s="302"/>
      <c r="AD189" s="302"/>
      <c r="AE189" s="302"/>
      <c r="AF189" s="303"/>
      <c r="AG189" t="s">
        <v>79</v>
      </c>
      <c r="AN189" s="171"/>
      <c r="AO189" s="14"/>
      <c r="AP189" s="1"/>
    </row>
    <row r="190" spans="2:42" ht="6" customHeight="1" x14ac:dyDescent="0.2">
      <c r="B190" s="11"/>
      <c r="C190" s="1"/>
      <c r="D190" s="1"/>
      <c r="E190" s="12"/>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3"/>
      <c r="AO190" s="14"/>
      <c r="AP190" s="1"/>
    </row>
    <row r="191" spans="2:42" ht="13" x14ac:dyDescent="0.2">
      <c r="B191" s="11"/>
      <c r="C191" s="1"/>
      <c r="D191" s="1"/>
      <c r="E191" s="204" t="s">
        <v>174</v>
      </c>
      <c r="F191" s="154"/>
      <c r="G191" s="1"/>
      <c r="H191" s="1"/>
      <c r="I191" s="1"/>
      <c r="J191" s="1"/>
      <c r="K191" s="1"/>
      <c r="L191" s="1"/>
      <c r="M191" s="1"/>
      <c r="N191" s="1"/>
      <c r="O191" s="1"/>
      <c r="P191" s="1"/>
      <c r="Q191" s="1"/>
      <c r="R191" s="1"/>
      <c r="S191" s="1"/>
      <c r="T191" s="1"/>
      <c r="AE191" s="1"/>
      <c r="AF191" s="1"/>
      <c r="AG191" s="1"/>
      <c r="AH191" s="1"/>
      <c r="AI191" s="1"/>
      <c r="AJ191" s="1"/>
      <c r="AK191" s="1"/>
      <c r="AL191" s="1"/>
      <c r="AM191" s="1"/>
      <c r="AN191" s="13"/>
      <c r="AO191" s="14"/>
      <c r="AP191" s="1"/>
    </row>
    <row r="192" spans="2:42" ht="6" customHeight="1" x14ac:dyDescent="0.2">
      <c r="B192" s="11"/>
      <c r="C192" s="1"/>
      <c r="D192" s="1"/>
      <c r="E192" s="12"/>
      <c r="F192" s="154"/>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3"/>
      <c r="AO192" s="14"/>
      <c r="AP192" s="1"/>
    </row>
    <row r="193" spans="2:43" ht="15" customHeight="1" x14ac:dyDescent="0.2">
      <c r="B193" s="11"/>
      <c r="C193" s="1"/>
      <c r="D193" s="1"/>
      <c r="E193" s="12"/>
      <c r="F193" s="1"/>
      <c r="G193" s="1"/>
      <c r="H193" s="1" t="s">
        <v>175</v>
      </c>
      <c r="I193" s="1"/>
      <c r="J193" s="1"/>
      <c r="K193" s="1"/>
      <c r="L193" s="1"/>
      <c r="M193" s="1"/>
      <c r="N193" s="1"/>
      <c r="U193" s="1"/>
      <c r="V193" s="1" t="s">
        <v>176</v>
      </c>
      <c r="AN193" s="13"/>
      <c r="AO193" s="14"/>
      <c r="AP193" s="1"/>
    </row>
    <row r="194" spans="2:43" ht="3" customHeight="1" x14ac:dyDescent="0.2">
      <c r="B194" s="11"/>
      <c r="C194" s="1"/>
      <c r="D194" s="1"/>
      <c r="E194" s="12"/>
      <c r="F194" s="1"/>
      <c r="G194" s="1"/>
      <c r="H194" s="1"/>
      <c r="I194" s="1"/>
      <c r="J194" s="1"/>
      <c r="K194" s="1"/>
      <c r="L194" s="1"/>
      <c r="M194" s="1"/>
      <c r="N194" s="1"/>
      <c r="U194" s="1"/>
      <c r="V194" s="1"/>
      <c r="AN194" s="13"/>
      <c r="AO194" s="14"/>
      <c r="AP194" s="1"/>
    </row>
    <row r="195" spans="2:43" ht="15" customHeight="1" x14ac:dyDescent="0.2">
      <c r="B195" s="11"/>
      <c r="C195" s="1"/>
      <c r="D195" s="1"/>
      <c r="E195" s="12"/>
      <c r="F195" s="1"/>
      <c r="G195" s="1"/>
      <c r="H195" s="1" t="s">
        <v>177</v>
      </c>
      <c r="I195" s="1"/>
      <c r="J195" s="1"/>
      <c r="K195" s="1"/>
      <c r="L195" s="1"/>
      <c r="M195" s="109" t="s">
        <v>78</v>
      </c>
      <c r="N195" s="301"/>
      <c r="O195" s="338"/>
      <c r="P195" s="338"/>
      <c r="Q195" s="338"/>
      <c r="R195" s="338"/>
      <c r="S195" s="338"/>
      <c r="T195" s="338"/>
      <c r="U195" s="338"/>
      <c r="V195" s="338"/>
      <c r="W195" s="338"/>
      <c r="X195" s="338"/>
      <c r="Y195" s="338"/>
      <c r="Z195" s="338"/>
      <c r="AA195" s="338"/>
      <c r="AB195" s="338"/>
      <c r="AC195" s="338"/>
      <c r="AD195" s="338"/>
      <c r="AE195" s="338"/>
      <c r="AF195" s="339"/>
      <c r="AG195" t="s">
        <v>79</v>
      </c>
      <c r="AN195" s="176"/>
      <c r="AO195" s="14"/>
      <c r="AP195" s="1"/>
    </row>
    <row r="196" spans="2:43" ht="6" customHeight="1" thickBot="1" x14ac:dyDescent="0.25">
      <c r="B196" s="11"/>
      <c r="C196" s="1"/>
      <c r="D196" s="1"/>
      <c r="E196" s="178"/>
      <c r="F196" s="179"/>
      <c r="G196" s="179"/>
      <c r="H196" s="179"/>
      <c r="I196" s="179"/>
      <c r="J196" s="179"/>
      <c r="K196" s="179"/>
      <c r="L196" s="179"/>
      <c r="M196" s="179"/>
      <c r="N196" s="179"/>
      <c r="O196" s="179"/>
      <c r="P196" s="179"/>
      <c r="Q196" s="179"/>
      <c r="R196" s="179"/>
      <c r="S196" s="179"/>
      <c r="T196" s="179"/>
      <c r="U196" s="180"/>
      <c r="V196" s="181"/>
      <c r="W196" s="182"/>
      <c r="X196" s="182"/>
      <c r="Y196" s="182"/>
      <c r="Z196" s="182"/>
      <c r="AA196" s="182"/>
      <c r="AB196" s="182"/>
      <c r="AC196" s="182"/>
      <c r="AD196" s="182"/>
      <c r="AE196" s="182"/>
      <c r="AF196" s="182"/>
      <c r="AG196" s="182"/>
      <c r="AH196" s="182"/>
      <c r="AI196" s="182"/>
      <c r="AJ196" s="182"/>
      <c r="AK196" s="182"/>
      <c r="AL196" s="182"/>
      <c r="AM196" s="182"/>
      <c r="AN196" s="183"/>
      <c r="AO196" s="14"/>
      <c r="AP196" s="1"/>
    </row>
    <row r="197" spans="2:43" ht="12" customHeight="1" x14ac:dyDescent="0.2">
      <c r="B197" s="1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4"/>
      <c r="AP197" s="1"/>
    </row>
    <row r="198" spans="2:43" x14ac:dyDescent="0.2">
      <c r="B198" s="122"/>
      <c r="C198" s="122"/>
      <c r="D198" s="122" t="s">
        <v>51</v>
      </c>
      <c r="E198" s="122"/>
      <c r="F198" s="122"/>
      <c r="G198" s="122"/>
      <c r="H198" s="123"/>
      <c r="I198" s="123"/>
      <c r="J198" s="123"/>
      <c r="K198" s="123"/>
      <c r="L198" s="123"/>
      <c r="M198" s="123"/>
      <c r="N198" s="123"/>
      <c r="O198" s="123"/>
      <c r="P198" s="123"/>
      <c r="Q198" s="123"/>
      <c r="R198" s="123"/>
      <c r="S198" s="123"/>
      <c r="T198" s="123"/>
      <c r="U198" s="123"/>
      <c r="V198" s="123"/>
      <c r="W198" s="123"/>
      <c r="X198" s="123"/>
      <c r="Y198" s="123"/>
      <c r="Z198" s="123"/>
      <c r="AA198" s="123"/>
      <c r="AB198" s="123"/>
      <c r="AC198" s="123"/>
      <c r="AD198" s="123"/>
      <c r="AE198" s="123"/>
      <c r="AF198" s="123"/>
      <c r="AG198" s="123"/>
      <c r="AH198" s="123"/>
      <c r="AI198" s="123"/>
      <c r="AJ198" s="123"/>
      <c r="AK198" s="123"/>
      <c r="AL198" s="124"/>
      <c r="AM198" s="124"/>
      <c r="AN198" s="122"/>
      <c r="AO198" s="122"/>
      <c r="AP198" s="1"/>
    </row>
    <row r="199" spans="2:43" ht="6" customHeight="1" x14ac:dyDescent="0.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spans="2:43" ht="12" customHeight="1" x14ac:dyDescent="0.2">
      <c r="B200" s="231" t="str">
        <f>$B$1</f>
        <v>e-mail：kaitoku@jsps.go.jp</v>
      </c>
      <c r="C200" s="231"/>
      <c r="D200" s="231"/>
      <c r="E200" s="231"/>
      <c r="F200" s="231"/>
      <c r="G200" s="231"/>
      <c r="H200" s="231"/>
      <c r="I200" s="231"/>
      <c r="J200" s="231"/>
      <c r="K200" s="231"/>
      <c r="L200" s="231"/>
      <c r="M200" s="231"/>
      <c r="N200" s="231"/>
      <c r="O200" s="216"/>
      <c r="P200" s="216"/>
      <c r="Q200" s="216"/>
      <c r="R200" s="216"/>
      <c r="S200" s="1"/>
      <c r="T200" s="1"/>
      <c r="U200" s="1"/>
      <c r="V200" s="1"/>
      <c r="W200" s="1"/>
      <c r="X200" s="1"/>
      <c r="Y200" s="1"/>
      <c r="Z200" s="1"/>
      <c r="AA200" s="83"/>
      <c r="AB200" s="83"/>
      <c r="AC200" s="237" t="str">
        <f>$AC$1</f>
        <v>令和　　　7年　　　12月　　　12日</v>
      </c>
      <c r="AD200" s="237"/>
      <c r="AE200" s="237"/>
      <c r="AF200" s="237"/>
      <c r="AG200" s="237"/>
      <c r="AH200" s="237"/>
      <c r="AI200" s="237"/>
      <c r="AJ200" s="237"/>
      <c r="AK200" s="237"/>
      <c r="AL200" s="237"/>
      <c r="AM200" s="237"/>
      <c r="AN200" s="195"/>
      <c r="AO200" s="196" t="s">
        <v>1</v>
      </c>
      <c r="AP200" s="1"/>
    </row>
    <row r="201" spans="2:43" ht="12" customHeight="1" x14ac:dyDescent="0.2">
      <c r="B201" s="231" t="str">
        <f>$B$2</f>
        <v>日本学術振興会 海外特別研究員担当 宛</v>
      </c>
      <c r="C201" s="231"/>
      <c r="D201" s="231"/>
      <c r="E201" s="231"/>
      <c r="F201" s="231"/>
      <c r="G201" s="231"/>
      <c r="H201" s="231"/>
      <c r="I201" s="231"/>
      <c r="J201" s="231"/>
      <c r="K201" s="231"/>
      <c r="L201" s="231"/>
      <c r="M201" s="231"/>
      <c r="N201" s="231"/>
      <c r="O201" s="216"/>
      <c r="P201" s="216"/>
      <c r="Q201" s="216"/>
      <c r="R201" s="216"/>
      <c r="S201" s="1"/>
      <c r="T201" s="1"/>
      <c r="U201" s="1"/>
      <c r="V201" s="1"/>
      <c r="W201" s="1"/>
      <c r="X201" s="1"/>
      <c r="Y201" s="1"/>
      <c r="Z201" s="1"/>
      <c r="AA201" s="83"/>
      <c r="AB201" s="83"/>
      <c r="AC201" s="83"/>
      <c r="AD201" s="83"/>
      <c r="AE201" s="83"/>
      <c r="AF201" s="83"/>
      <c r="AG201" s="83"/>
      <c r="AH201" s="83"/>
      <c r="AI201" s="1"/>
      <c r="AJ201" s="1"/>
      <c r="AK201" s="1"/>
      <c r="AL201" s="1"/>
      <c r="AM201" s="1"/>
      <c r="AN201" s="1"/>
      <c r="AO201" s="82"/>
      <c r="AP201" s="1"/>
    </row>
    <row r="202" spans="2:43" ht="7" customHeight="1" x14ac:dyDescent="0.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spans="2:43" s="6" customFormat="1" ht="20.25" customHeight="1" x14ac:dyDescent="0.2">
      <c r="C203" s="190"/>
      <c r="D203" s="190"/>
      <c r="E203" s="190"/>
      <c r="F203" s="190"/>
      <c r="G203" s="235" t="str">
        <f>$G$4</f>
        <v>海外特別研究員の就職状況等について（調査票）</v>
      </c>
      <c r="H203" s="235"/>
      <c r="I203" s="235"/>
      <c r="J203" s="235"/>
      <c r="K203" s="235"/>
      <c r="L203" s="235"/>
      <c r="M203" s="235"/>
      <c r="N203" s="235"/>
      <c r="O203" s="235"/>
      <c r="P203" s="235"/>
      <c r="Q203" s="235"/>
      <c r="R203" s="235"/>
      <c r="S203" s="235"/>
      <c r="T203" s="235"/>
      <c r="U203" s="235"/>
      <c r="V203" s="235"/>
      <c r="W203" s="235"/>
      <c r="X203" s="235"/>
      <c r="Y203" s="235"/>
      <c r="Z203" s="235"/>
      <c r="AA203" s="235"/>
      <c r="AB203" s="235"/>
      <c r="AC203" s="235"/>
      <c r="AD203" s="236" t="s">
        <v>178</v>
      </c>
      <c r="AE203" s="236"/>
      <c r="AF203" s="191" t="str">
        <f>$AF$4</f>
        <v>＜様式3-3＞</v>
      </c>
      <c r="AG203" s="190"/>
      <c r="AH203" s="190"/>
      <c r="AI203" s="190"/>
      <c r="AJ203" s="190"/>
      <c r="AK203" s="190"/>
      <c r="AL203" s="190"/>
      <c r="AM203" s="190"/>
      <c r="AN203" s="190"/>
      <c r="AO203" s="190"/>
      <c r="AP203" s="143"/>
    </row>
    <row r="204" spans="2:43" ht="7" customHeight="1" x14ac:dyDescent="0.2">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c r="AM204" s="125"/>
      <c r="AN204" s="125"/>
      <c r="AO204" s="125"/>
      <c r="AP204" s="84"/>
      <c r="AQ204" s="85"/>
    </row>
    <row r="205" spans="2:43" ht="6" customHeight="1" x14ac:dyDescent="0.2">
      <c r="B205" s="126"/>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122"/>
      <c r="AH205" s="122"/>
      <c r="AI205" s="122"/>
      <c r="AJ205" s="122"/>
      <c r="AK205" s="122"/>
      <c r="AL205" s="122"/>
      <c r="AM205" s="122"/>
      <c r="AN205" s="122"/>
      <c r="AO205" s="128"/>
      <c r="AP205" s="1"/>
    </row>
    <row r="206" spans="2:43" ht="12.5" x14ac:dyDescent="0.2">
      <c r="B206" s="11"/>
      <c r="C206" s="1"/>
      <c r="D206" s="134" t="s">
        <v>179</v>
      </c>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4"/>
      <c r="AP206" s="1"/>
    </row>
    <row r="207" spans="2:43" ht="6" customHeight="1" x14ac:dyDescent="0.2">
      <c r="B207" s="1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4"/>
      <c r="AP207" s="1"/>
    </row>
    <row r="208" spans="2:43" ht="15" customHeight="1" x14ac:dyDescent="0.2">
      <c r="B208" s="11"/>
      <c r="C208" s="1"/>
      <c r="D208" s="1"/>
      <c r="E208" s="1"/>
      <c r="F208" s="1"/>
      <c r="G208" s="1" t="s">
        <v>180</v>
      </c>
      <c r="H208" s="1"/>
      <c r="I208" s="1"/>
      <c r="J208" s="1"/>
      <c r="K208" s="1"/>
      <c r="L208" s="1"/>
      <c r="M208" s="1"/>
      <c r="N208" s="1"/>
      <c r="O208" s="1"/>
      <c r="P208" s="1"/>
      <c r="R208" s="1"/>
      <c r="S208" s="1" t="s">
        <v>181</v>
      </c>
      <c r="T208" s="1"/>
      <c r="U208" s="1"/>
      <c r="V208" s="1"/>
      <c r="W208" s="1"/>
      <c r="X208" s="1"/>
      <c r="Y208" s="1"/>
      <c r="Z208" s="1" t="s">
        <v>182</v>
      </c>
      <c r="AA208" s="1"/>
      <c r="AB208" s="1"/>
      <c r="AC208" s="1"/>
      <c r="AD208" s="1"/>
      <c r="AE208" s="1"/>
      <c r="AF208" s="1"/>
      <c r="AG208" s="1"/>
      <c r="AH208" s="1"/>
      <c r="AI208" s="1"/>
      <c r="AJ208" s="1"/>
      <c r="AK208" s="1"/>
      <c r="AL208" s="184"/>
      <c r="AM208" s="184"/>
      <c r="AN208" s="1"/>
      <c r="AO208" s="14"/>
      <c r="AP208" s="1"/>
    </row>
    <row r="209" spans="2:42" ht="15" customHeight="1" x14ac:dyDescent="0.2">
      <c r="B209" s="11"/>
      <c r="C209" s="1"/>
      <c r="D209" s="1"/>
      <c r="E209" s="1"/>
      <c r="F209" s="1"/>
      <c r="G209" s="1" t="s">
        <v>183</v>
      </c>
      <c r="H209" s="1"/>
      <c r="I209" s="1"/>
      <c r="J209" s="1"/>
      <c r="K209" s="1"/>
      <c r="L209" s="1"/>
      <c r="M209" s="1"/>
      <c r="N209" s="1"/>
      <c r="O209" s="1"/>
      <c r="P209" s="1"/>
      <c r="Q209" s="1"/>
      <c r="R209" s="1"/>
      <c r="S209" s="1"/>
      <c r="T209" s="1"/>
      <c r="U209" s="1"/>
      <c r="V209" s="1"/>
      <c r="W209" s="1"/>
      <c r="X209" s="1"/>
      <c r="Y209" s="1"/>
      <c r="Z209" s="1" t="s">
        <v>184</v>
      </c>
      <c r="AA209" s="1"/>
      <c r="AB209" s="1"/>
      <c r="AC209" s="1"/>
      <c r="AD209" s="1"/>
      <c r="AE209" s="1"/>
      <c r="AF209" s="1"/>
      <c r="AG209" s="1"/>
      <c r="AH209" s="1"/>
      <c r="AI209" s="1"/>
      <c r="AJ209" s="1"/>
      <c r="AK209" s="1"/>
      <c r="AL209" s="184"/>
      <c r="AM209" s="184"/>
      <c r="AN209" s="1"/>
      <c r="AO209" s="14"/>
      <c r="AP209" s="1"/>
    </row>
    <row r="210" spans="2:42" x14ac:dyDescent="0.2">
      <c r="B210" s="1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84"/>
      <c r="AM210" s="184"/>
      <c r="AN210" s="1"/>
      <c r="AO210" s="14"/>
      <c r="AP210" s="1"/>
    </row>
    <row r="211" spans="2:42" ht="12.5" x14ac:dyDescent="0.2">
      <c r="B211" s="11"/>
      <c r="C211" s="1"/>
      <c r="D211" s="1"/>
      <c r="E211" s="134" t="s">
        <v>185</v>
      </c>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84"/>
      <c r="AM211" s="184"/>
      <c r="AN211" s="1"/>
      <c r="AO211" s="14"/>
      <c r="AP211" s="1"/>
    </row>
    <row r="212" spans="2:42" ht="5.15" customHeight="1" x14ac:dyDescent="0.2">
      <c r="B212" s="1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84"/>
      <c r="AM212" s="184"/>
      <c r="AN212" s="1"/>
      <c r="AO212" s="14"/>
      <c r="AP212" s="1"/>
    </row>
    <row r="213" spans="2:42" x14ac:dyDescent="0.2">
      <c r="B213" s="11"/>
      <c r="C213" s="1"/>
      <c r="D213" s="1"/>
      <c r="E213" s="1"/>
      <c r="F213" s="1"/>
      <c r="G213" s="304"/>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c r="AF213" s="305"/>
      <c r="AG213" s="305"/>
      <c r="AH213" s="305"/>
      <c r="AI213" s="305"/>
      <c r="AJ213" s="305"/>
      <c r="AK213" s="305"/>
      <c r="AL213" s="305"/>
      <c r="AM213" s="306"/>
      <c r="AN213" s="1"/>
      <c r="AO213" s="14"/>
      <c r="AP213" s="1"/>
    </row>
    <row r="214" spans="2:42" x14ac:dyDescent="0.2">
      <c r="B214" s="11"/>
      <c r="C214" s="1"/>
      <c r="D214" s="1"/>
      <c r="E214" s="1"/>
      <c r="F214" s="1"/>
      <c r="G214" s="307"/>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c r="AH214" s="308"/>
      <c r="AI214" s="308"/>
      <c r="AJ214" s="308"/>
      <c r="AK214" s="308"/>
      <c r="AL214" s="308"/>
      <c r="AM214" s="309"/>
      <c r="AN214" s="1"/>
      <c r="AO214" s="14"/>
      <c r="AP214" s="1"/>
    </row>
    <row r="215" spans="2:42" x14ac:dyDescent="0.2">
      <c r="B215" s="11"/>
      <c r="C215" s="1"/>
      <c r="D215" s="1"/>
      <c r="E215" s="1"/>
      <c r="F215" s="1"/>
      <c r="G215" s="307"/>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c r="AH215" s="308"/>
      <c r="AI215" s="308"/>
      <c r="AJ215" s="308"/>
      <c r="AK215" s="308"/>
      <c r="AL215" s="308"/>
      <c r="AM215" s="309"/>
      <c r="AN215" s="1"/>
      <c r="AO215" s="14"/>
      <c r="AP215" s="1"/>
    </row>
    <row r="216" spans="2:42" x14ac:dyDescent="0.2">
      <c r="B216" s="11"/>
      <c r="C216" s="1"/>
      <c r="D216" s="1"/>
      <c r="E216" s="1"/>
      <c r="F216" s="1"/>
      <c r="G216" s="307"/>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c r="AH216" s="308"/>
      <c r="AI216" s="308"/>
      <c r="AJ216" s="308"/>
      <c r="AK216" s="308"/>
      <c r="AL216" s="308"/>
      <c r="AM216" s="309"/>
      <c r="AN216" s="1"/>
      <c r="AO216" s="14"/>
      <c r="AP216" s="1"/>
    </row>
    <row r="217" spans="2:42" x14ac:dyDescent="0.2">
      <c r="B217" s="11"/>
      <c r="C217" s="1"/>
      <c r="D217" s="1"/>
      <c r="E217" s="1"/>
      <c r="F217" s="1"/>
      <c r="G217" s="321"/>
      <c r="H217" s="322"/>
      <c r="I217" s="322"/>
      <c r="J217" s="322"/>
      <c r="K217" s="322"/>
      <c r="L217" s="322"/>
      <c r="M217" s="322"/>
      <c r="N217" s="322"/>
      <c r="O217" s="322"/>
      <c r="P217" s="322"/>
      <c r="Q217" s="322"/>
      <c r="R217" s="322"/>
      <c r="S217" s="322"/>
      <c r="T217" s="322"/>
      <c r="U217" s="322"/>
      <c r="V217" s="322"/>
      <c r="W217" s="322"/>
      <c r="X217" s="322"/>
      <c r="Y217" s="322"/>
      <c r="Z217" s="322"/>
      <c r="AA217" s="322"/>
      <c r="AB217" s="322"/>
      <c r="AC217" s="322"/>
      <c r="AD217" s="322"/>
      <c r="AE217" s="322"/>
      <c r="AF217" s="322"/>
      <c r="AG217" s="322"/>
      <c r="AH217" s="322"/>
      <c r="AI217" s="322"/>
      <c r="AJ217" s="322"/>
      <c r="AK217" s="322"/>
      <c r="AL217" s="322"/>
      <c r="AM217" s="323"/>
      <c r="AN217" s="1"/>
      <c r="AO217" s="14"/>
      <c r="AP217" s="1"/>
    </row>
    <row r="218" spans="2:42" ht="12" customHeight="1" x14ac:dyDescent="0.2">
      <c r="B218" s="1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84"/>
      <c r="AM218" s="184"/>
      <c r="AN218" s="1"/>
      <c r="AO218" s="14"/>
      <c r="AP218" s="1"/>
    </row>
    <row r="219" spans="2:42" ht="12" customHeight="1" x14ac:dyDescent="0.2">
      <c r="B219" s="91"/>
      <c r="C219" s="93"/>
      <c r="D219" s="93"/>
      <c r="E219" s="93"/>
      <c r="F219" s="93"/>
      <c r="G219" s="93"/>
      <c r="H219" s="93"/>
      <c r="I219" s="93"/>
      <c r="J219" s="93"/>
      <c r="K219" s="93"/>
      <c r="L219" s="93"/>
      <c r="M219" s="93"/>
      <c r="N219" s="93"/>
      <c r="O219" s="93"/>
      <c r="P219" s="93"/>
      <c r="Q219" s="93"/>
      <c r="R219" s="93"/>
      <c r="S219" s="93"/>
      <c r="T219" s="93"/>
      <c r="U219" s="93"/>
      <c r="V219" s="1"/>
      <c r="W219" s="1"/>
      <c r="X219" s="1"/>
      <c r="Y219" s="1"/>
      <c r="Z219" s="1"/>
      <c r="AA219" s="1"/>
      <c r="AB219" s="1"/>
      <c r="AC219" s="1"/>
      <c r="AD219" s="1"/>
      <c r="AE219" s="1"/>
      <c r="AF219" s="1"/>
      <c r="AG219" s="1"/>
      <c r="AH219" s="1"/>
      <c r="AI219" s="1"/>
      <c r="AJ219" s="1"/>
      <c r="AK219" s="1"/>
      <c r="AL219" s="1"/>
      <c r="AM219" s="1"/>
      <c r="AN219" s="1"/>
      <c r="AO219" s="14"/>
      <c r="AP219" s="1"/>
    </row>
    <row r="220" spans="2:42" ht="12.5" x14ac:dyDescent="0.2">
      <c r="B220" s="11"/>
      <c r="C220" s="1"/>
      <c r="D220" s="134" t="s">
        <v>186</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4"/>
      <c r="AP220" s="1"/>
    </row>
    <row r="221" spans="2:42" ht="6" customHeight="1" x14ac:dyDescent="0.2">
      <c r="B221" s="1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4"/>
      <c r="AP221" s="1"/>
    </row>
    <row r="222" spans="2:42" ht="15" customHeight="1" x14ac:dyDescent="0.2">
      <c r="B222" s="11"/>
      <c r="C222" s="1"/>
      <c r="D222" s="1"/>
      <c r="E222" s="1"/>
      <c r="F222" s="1"/>
      <c r="G222" s="154" t="s">
        <v>187</v>
      </c>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4"/>
      <c r="AP222" s="1"/>
    </row>
    <row r="223" spans="2:42" ht="15" customHeight="1" x14ac:dyDescent="0.2">
      <c r="B223" s="11"/>
      <c r="C223" s="1"/>
      <c r="D223" s="1"/>
      <c r="E223" s="1"/>
      <c r="F223" s="1"/>
      <c r="G223" s="154" t="s">
        <v>188</v>
      </c>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4"/>
      <c r="AP223" s="1"/>
    </row>
    <row r="224" spans="2:42" ht="15" customHeight="1" x14ac:dyDescent="0.2">
      <c r="B224" s="11"/>
      <c r="C224" s="1"/>
      <c r="D224" s="1"/>
      <c r="E224" s="1"/>
      <c r="F224" s="1"/>
      <c r="G224" s="154" t="s">
        <v>189</v>
      </c>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4"/>
      <c r="AP224" s="1"/>
    </row>
    <row r="225" spans="2:42" ht="15" customHeight="1" x14ac:dyDescent="0.2">
      <c r="B225" s="11"/>
      <c r="C225" s="1"/>
      <c r="D225" s="1"/>
      <c r="E225" s="1"/>
      <c r="F225" s="1"/>
      <c r="G225" s="154" t="s">
        <v>190</v>
      </c>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4"/>
      <c r="AP225" s="1"/>
    </row>
    <row r="226" spans="2:42" ht="15" customHeight="1" x14ac:dyDescent="0.2">
      <c r="B226" s="11"/>
      <c r="C226" s="1"/>
      <c r="D226" s="1"/>
      <c r="E226" s="1"/>
      <c r="F226" s="1"/>
      <c r="G226" s="154" t="s">
        <v>191</v>
      </c>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4"/>
      <c r="AP226" s="1"/>
    </row>
    <row r="227" spans="2:42" ht="15" customHeight="1" x14ac:dyDescent="0.2">
      <c r="B227" s="11"/>
      <c r="C227" s="1"/>
      <c r="D227" s="1"/>
      <c r="E227" s="1"/>
      <c r="F227" s="1"/>
      <c r="G227" s="154" t="s">
        <v>192</v>
      </c>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4"/>
      <c r="AP227" s="1"/>
    </row>
    <row r="228" spans="2:42" ht="15" customHeight="1" x14ac:dyDescent="0.2">
      <c r="B228" s="11"/>
      <c r="C228" s="1"/>
      <c r="D228" s="1"/>
      <c r="E228" s="1"/>
      <c r="F228" s="1"/>
      <c r="G228" s="154" t="s">
        <v>193</v>
      </c>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4"/>
      <c r="AP228" s="1"/>
    </row>
    <row r="229" spans="2:42" ht="15" customHeight="1" x14ac:dyDescent="0.2">
      <c r="B229" s="11"/>
      <c r="C229" s="1"/>
      <c r="D229" s="1"/>
      <c r="E229" s="1"/>
      <c r="F229" s="1"/>
      <c r="G229" s="154" t="s">
        <v>194</v>
      </c>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4"/>
      <c r="AP229" s="1"/>
    </row>
    <row r="230" spans="2:42" ht="15" customHeight="1" x14ac:dyDescent="0.2">
      <c r="B230" s="11"/>
      <c r="C230" s="1"/>
      <c r="D230" s="1"/>
      <c r="E230" s="1"/>
      <c r="F230" s="1"/>
      <c r="G230" s="154" t="s">
        <v>195</v>
      </c>
      <c r="H230" s="1"/>
      <c r="I230" s="1"/>
      <c r="J230" s="1"/>
      <c r="K230" s="1" t="s">
        <v>196</v>
      </c>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4"/>
      <c r="AP230" s="1"/>
    </row>
    <row r="231" spans="2:42" x14ac:dyDescent="0.2">
      <c r="B231" s="1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4"/>
      <c r="AP231" s="1"/>
    </row>
    <row r="232" spans="2:42" ht="12.5" x14ac:dyDescent="0.2">
      <c r="B232" s="11"/>
      <c r="C232" s="1"/>
      <c r="E232" s="134" t="s">
        <v>197</v>
      </c>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4"/>
      <c r="AP232" s="1"/>
    </row>
    <row r="233" spans="2:42" ht="5.15" customHeight="1" x14ac:dyDescent="0.2">
      <c r="B233" s="1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4"/>
      <c r="AP233" s="1"/>
    </row>
    <row r="234" spans="2:42" x14ac:dyDescent="0.2">
      <c r="B234" s="11"/>
      <c r="C234" s="1"/>
      <c r="D234" s="1"/>
      <c r="E234" s="1"/>
      <c r="F234" s="1"/>
      <c r="G234" s="304"/>
      <c r="H234" s="305"/>
      <c r="I234" s="305"/>
      <c r="J234" s="305"/>
      <c r="K234" s="305"/>
      <c r="L234" s="305"/>
      <c r="M234" s="305"/>
      <c r="N234" s="305"/>
      <c r="O234" s="305"/>
      <c r="P234" s="305"/>
      <c r="Q234" s="305"/>
      <c r="R234" s="305"/>
      <c r="S234" s="305"/>
      <c r="T234" s="305"/>
      <c r="U234" s="305"/>
      <c r="V234" s="305"/>
      <c r="W234" s="305"/>
      <c r="X234" s="305"/>
      <c r="Y234" s="305"/>
      <c r="Z234" s="305"/>
      <c r="AA234" s="305"/>
      <c r="AB234" s="305"/>
      <c r="AC234" s="305"/>
      <c r="AD234" s="305"/>
      <c r="AE234" s="305"/>
      <c r="AF234" s="305"/>
      <c r="AG234" s="305"/>
      <c r="AH234" s="305"/>
      <c r="AI234" s="305"/>
      <c r="AJ234" s="305"/>
      <c r="AK234" s="305"/>
      <c r="AL234" s="305"/>
      <c r="AM234" s="306"/>
      <c r="AN234" s="1"/>
      <c r="AO234" s="14"/>
      <c r="AP234" s="1"/>
    </row>
    <row r="235" spans="2:42" x14ac:dyDescent="0.2">
      <c r="B235" s="11"/>
      <c r="C235" s="1"/>
      <c r="D235" s="1"/>
      <c r="E235" s="1"/>
      <c r="F235" s="1"/>
      <c r="G235" s="307"/>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c r="AH235" s="308"/>
      <c r="AI235" s="308"/>
      <c r="AJ235" s="308"/>
      <c r="AK235" s="308"/>
      <c r="AL235" s="308"/>
      <c r="AM235" s="309"/>
      <c r="AN235" s="1"/>
      <c r="AO235" s="14"/>
      <c r="AP235" s="1"/>
    </row>
    <row r="236" spans="2:42" x14ac:dyDescent="0.2">
      <c r="B236" s="11"/>
      <c r="C236" s="1"/>
      <c r="D236" s="1"/>
      <c r="E236" s="1"/>
      <c r="F236" s="1"/>
      <c r="G236" s="307"/>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c r="AH236" s="308"/>
      <c r="AI236" s="308"/>
      <c r="AJ236" s="308"/>
      <c r="AK236" s="308"/>
      <c r="AL236" s="308"/>
      <c r="AM236" s="309"/>
      <c r="AN236" s="1"/>
      <c r="AO236" s="14"/>
      <c r="AP236" s="1"/>
    </row>
    <row r="237" spans="2:42" x14ac:dyDescent="0.2">
      <c r="B237" s="11"/>
      <c r="C237" s="1"/>
      <c r="D237" s="1"/>
      <c r="E237" s="1"/>
      <c r="F237" s="1"/>
      <c r="G237" s="307"/>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c r="AH237" s="308"/>
      <c r="AI237" s="308"/>
      <c r="AJ237" s="308"/>
      <c r="AK237" s="308"/>
      <c r="AL237" s="308"/>
      <c r="AM237" s="309"/>
      <c r="AN237" s="1"/>
      <c r="AO237" s="14"/>
      <c r="AP237" s="1"/>
    </row>
    <row r="238" spans="2:42" x14ac:dyDescent="0.2">
      <c r="B238" s="11"/>
      <c r="C238" s="1"/>
      <c r="D238" s="1"/>
      <c r="E238" s="1"/>
      <c r="F238" s="1"/>
      <c r="G238" s="321"/>
      <c r="H238" s="322"/>
      <c r="I238" s="322"/>
      <c r="J238" s="322"/>
      <c r="K238" s="322"/>
      <c r="L238" s="322"/>
      <c r="M238" s="322"/>
      <c r="N238" s="322"/>
      <c r="O238" s="322"/>
      <c r="P238" s="322"/>
      <c r="Q238" s="322"/>
      <c r="R238" s="322"/>
      <c r="S238" s="322"/>
      <c r="T238" s="322"/>
      <c r="U238" s="322"/>
      <c r="V238" s="322"/>
      <c r="W238" s="322"/>
      <c r="X238" s="322"/>
      <c r="Y238" s="322"/>
      <c r="Z238" s="322"/>
      <c r="AA238" s="322"/>
      <c r="AB238" s="322"/>
      <c r="AC238" s="322"/>
      <c r="AD238" s="322"/>
      <c r="AE238" s="322"/>
      <c r="AF238" s="322"/>
      <c r="AG238" s="322"/>
      <c r="AH238" s="322"/>
      <c r="AI238" s="322"/>
      <c r="AJ238" s="322"/>
      <c r="AK238" s="322"/>
      <c r="AL238" s="322"/>
      <c r="AM238" s="323"/>
      <c r="AN238" s="1"/>
      <c r="AO238" s="14"/>
      <c r="AP238" s="1"/>
    </row>
    <row r="239" spans="2:42" x14ac:dyDescent="0.2">
      <c r="B239" s="1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4"/>
      <c r="AP239" s="1"/>
    </row>
    <row r="240" spans="2:42" x14ac:dyDescent="0.2">
      <c r="B240" s="1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4"/>
      <c r="AP240" s="1"/>
    </row>
    <row r="241" spans="2:42" ht="12.5" x14ac:dyDescent="0.2">
      <c r="B241" s="11"/>
      <c r="C241" s="1"/>
      <c r="D241" s="134" t="s">
        <v>198</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4"/>
      <c r="AP241" s="1"/>
    </row>
    <row r="242" spans="2:42" ht="12.75" customHeight="1" x14ac:dyDescent="0.2">
      <c r="B242" s="11"/>
      <c r="C242" s="1"/>
      <c r="D242" s="1"/>
      <c r="E242" s="1"/>
      <c r="F242" s="1"/>
      <c r="G242" s="1"/>
      <c r="H242" s="205" t="s">
        <v>199</v>
      </c>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4"/>
      <c r="AP242" s="1"/>
    </row>
    <row r="243" spans="2:42" ht="22" customHeight="1" x14ac:dyDescent="0.2">
      <c r="B243" s="11"/>
      <c r="C243" s="1"/>
      <c r="D243" s="1"/>
      <c r="E243" s="1"/>
      <c r="F243" s="1"/>
      <c r="G243" s="340" t="s">
        <v>462</v>
      </c>
      <c r="H243" s="341"/>
      <c r="I243" s="341"/>
      <c r="J243" s="341"/>
      <c r="K243" s="341"/>
      <c r="L243" s="341"/>
      <c r="M243" s="341"/>
      <c r="N243" s="341"/>
      <c r="O243" s="341"/>
      <c r="P243" s="341"/>
      <c r="Q243" s="341"/>
      <c r="R243" s="341"/>
      <c r="S243" s="341"/>
      <c r="T243" s="341"/>
      <c r="U243" s="341"/>
      <c r="V243" s="341"/>
      <c r="W243" s="341"/>
      <c r="X243" s="341"/>
      <c r="Y243" s="341"/>
      <c r="Z243" s="341"/>
      <c r="AA243" s="341"/>
      <c r="AB243" s="341"/>
      <c r="AC243" s="341"/>
      <c r="AD243" s="341"/>
      <c r="AE243" s="341"/>
      <c r="AF243" s="341"/>
      <c r="AG243" s="341"/>
      <c r="AH243" s="341"/>
      <c r="AI243" s="341"/>
      <c r="AJ243" s="341"/>
      <c r="AK243" s="341"/>
      <c r="AL243" s="341"/>
      <c r="AM243" s="342"/>
      <c r="AN243" s="1"/>
      <c r="AO243" s="14"/>
      <c r="AP243" s="1"/>
    </row>
    <row r="244" spans="2:42" ht="22" customHeight="1" x14ac:dyDescent="0.2">
      <c r="B244" s="11"/>
      <c r="C244" s="1"/>
      <c r="D244" s="1"/>
      <c r="E244" s="1"/>
      <c r="F244" s="1"/>
      <c r="G244" s="343"/>
      <c r="H244" s="344"/>
      <c r="I244" s="344"/>
      <c r="J244" s="344"/>
      <c r="K244" s="344"/>
      <c r="L244" s="344"/>
      <c r="M244" s="344"/>
      <c r="N244" s="344"/>
      <c r="O244" s="344"/>
      <c r="P244" s="344"/>
      <c r="Q244" s="344"/>
      <c r="R244" s="344"/>
      <c r="S244" s="344"/>
      <c r="T244" s="344"/>
      <c r="U244" s="344"/>
      <c r="V244" s="344"/>
      <c r="W244" s="344"/>
      <c r="X244" s="344"/>
      <c r="Y244" s="344"/>
      <c r="Z244" s="344"/>
      <c r="AA244" s="344"/>
      <c r="AB244" s="344"/>
      <c r="AC244" s="344"/>
      <c r="AD244" s="344"/>
      <c r="AE244" s="344"/>
      <c r="AF244" s="344"/>
      <c r="AG244" s="344"/>
      <c r="AH244" s="344"/>
      <c r="AI244" s="344"/>
      <c r="AJ244" s="344"/>
      <c r="AK244" s="344"/>
      <c r="AL244" s="344"/>
      <c r="AM244" s="345"/>
      <c r="AN244" s="1"/>
      <c r="AO244" s="14"/>
      <c r="AP244" s="1"/>
    </row>
    <row r="245" spans="2:42" ht="22" customHeight="1" x14ac:dyDescent="0.2">
      <c r="B245" s="11"/>
      <c r="C245" s="1"/>
      <c r="D245" s="1"/>
      <c r="E245" s="1"/>
      <c r="F245" s="1"/>
      <c r="G245" s="343"/>
      <c r="H245" s="344"/>
      <c r="I245" s="344"/>
      <c r="J245" s="344"/>
      <c r="K245" s="344"/>
      <c r="L245" s="344"/>
      <c r="M245" s="344"/>
      <c r="N245" s="344"/>
      <c r="O245" s="344"/>
      <c r="P245" s="344"/>
      <c r="Q245" s="344"/>
      <c r="R245" s="344"/>
      <c r="S245" s="344"/>
      <c r="T245" s="344"/>
      <c r="U245" s="344"/>
      <c r="V245" s="344"/>
      <c r="W245" s="344"/>
      <c r="X245" s="344"/>
      <c r="Y245" s="344"/>
      <c r="Z245" s="344"/>
      <c r="AA245" s="344"/>
      <c r="AB245" s="344"/>
      <c r="AC245" s="344"/>
      <c r="AD245" s="344"/>
      <c r="AE245" s="344"/>
      <c r="AF245" s="344"/>
      <c r="AG245" s="344"/>
      <c r="AH245" s="344"/>
      <c r="AI245" s="344"/>
      <c r="AJ245" s="344"/>
      <c r="AK245" s="344"/>
      <c r="AL245" s="344"/>
      <c r="AM245" s="345"/>
      <c r="AN245" s="1"/>
      <c r="AO245" s="14"/>
      <c r="AP245" s="1"/>
    </row>
    <row r="246" spans="2:42" ht="22" customHeight="1" x14ac:dyDescent="0.2">
      <c r="B246" s="11"/>
      <c r="C246" s="1"/>
      <c r="D246" s="1"/>
      <c r="E246" s="1"/>
      <c r="F246" s="1"/>
      <c r="G246" s="346"/>
      <c r="H246" s="347"/>
      <c r="I246" s="347"/>
      <c r="J246" s="347"/>
      <c r="K246" s="347"/>
      <c r="L246" s="347"/>
      <c r="M246" s="347"/>
      <c r="N246" s="347"/>
      <c r="O246" s="347"/>
      <c r="P246" s="347"/>
      <c r="Q246" s="347"/>
      <c r="R246" s="347"/>
      <c r="S246" s="347"/>
      <c r="T246" s="347"/>
      <c r="U246" s="347"/>
      <c r="V246" s="347"/>
      <c r="W246" s="347"/>
      <c r="X246" s="347"/>
      <c r="Y246" s="347"/>
      <c r="Z246" s="347"/>
      <c r="AA246" s="347"/>
      <c r="AB246" s="347"/>
      <c r="AC246" s="347"/>
      <c r="AD246" s="347"/>
      <c r="AE246" s="347"/>
      <c r="AF246" s="347"/>
      <c r="AG246" s="347"/>
      <c r="AH246" s="347"/>
      <c r="AI246" s="347"/>
      <c r="AJ246" s="347"/>
      <c r="AK246" s="347"/>
      <c r="AL246" s="347"/>
      <c r="AM246" s="348"/>
      <c r="AN246" s="1"/>
      <c r="AO246" s="14"/>
      <c r="AP246" s="1"/>
    </row>
    <row r="247" spans="2:42" ht="22" customHeight="1" x14ac:dyDescent="0.2">
      <c r="B247" s="11"/>
      <c r="C247" s="1"/>
      <c r="D247" s="1"/>
      <c r="E247" s="1"/>
      <c r="F247" s="1"/>
      <c r="G247" s="206"/>
      <c r="H247" s="206"/>
      <c r="I247" s="206"/>
      <c r="J247" s="206"/>
      <c r="K247" s="206"/>
      <c r="L247" s="206"/>
      <c r="M247" s="206"/>
      <c r="N247" s="206"/>
      <c r="O247" s="206"/>
      <c r="P247" s="206"/>
      <c r="Q247" s="206"/>
      <c r="R247" s="206"/>
      <c r="S247" s="206"/>
      <c r="T247" s="206"/>
      <c r="U247" s="206"/>
      <c r="V247" s="206"/>
      <c r="W247" s="206"/>
      <c r="X247" s="206"/>
      <c r="Y247" s="206"/>
      <c r="Z247" s="206"/>
      <c r="AA247" s="206"/>
      <c r="AB247" s="206"/>
      <c r="AC247" s="206"/>
      <c r="AD247" s="206"/>
      <c r="AE247" s="206"/>
      <c r="AF247" s="206"/>
      <c r="AG247" s="206"/>
      <c r="AH247" s="206"/>
      <c r="AI247" s="206"/>
      <c r="AJ247" s="206"/>
      <c r="AK247" s="206"/>
      <c r="AL247" s="206"/>
      <c r="AM247" s="206"/>
      <c r="AN247" s="1"/>
      <c r="AO247" s="14"/>
      <c r="AP247" s="1"/>
    </row>
    <row r="248" spans="2:42" ht="12.75" customHeight="1" x14ac:dyDescent="0.2">
      <c r="B248" s="11"/>
      <c r="C248" s="1"/>
      <c r="D248" s="134" t="s">
        <v>200</v>
      </c>
      <c r="E248" s="1"/>
      <c r="F248" s="1"/>
      <c r="G248" s="207"/>
      <c r="H248" s="207"/>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c r="AJ248" s="207"/>
      <c r="AK248" s="207"/>
      <c r="AL248" s="207"/>
      <c r="AM248" s="207"/>
      <c r="AN248" s="1"/>
      <c r="AO248" s="14"/>
      <c r="AP248" s="1"/>
    </row>
    <row r="249" spans="2:42" ht="22" customHeight="1" x14ac:dyDescent="0.2">
      <c r="B249" s="11"/>
      <c r="C249" s="1"/>
      <c r="D249" s="1"/>
      <c r="E249" s="1"/>
      <c r="F249" s="1"/>
      <c r="G249" s="349" t="s">
        <v>463</v>
      </c>
      <c r="H249" s="350"/>
      <c r="I249" s="350"/>
      <c r="J249" s="350"/>
      <c r="K249" s="350"/>
      <c r="L249" s="350"/>
      <c r="M249" s="350"/>
      <c r="N249" s="350"/>
      <c r="O249" s="350"/>
      <c r="P249" s="350"/>
      <c r="Q249" s="350"/>
      <c r="R249" s="350"/>
      <c r="S249" s="350"/>
      <c r="T249" s="350"/>
      <c r="U249" s="350"/>
      <c r="V249" s="350"/>
      <c r="W249" s="350"/>
      <c r="X249" s="350"/>
      <c r="Y249" s="350"/>
      <c r="Z249" s="350"/>
      <c r="AA249" s="350"/>
      <c r="AB249" s="350"/>
      <c r="AC249" s="350"/>
      <c r="AD249" s="350"/>
      <c r="AE249" s="350"/>
      <c r="AF249" s="350"/>
      <c r="AG249" s="350"/>
      <c r="AH249" s="350"/>
      <c r="AI249" s="350"/>
      <c r="AJ249" s="350"/>
      <c r="AK249" s="350"/>
      <c r="AL249" s="350"/>
      <c r="AM249" s="351"/>
      <c r="AN249" s="1"/>
      <c r="AO249" s="14"/>
      <c r="AP249" s="1"/>
    </row>
    <row r="250" spans="2:42" ht="22" customHeight="1" x14ac:dyDescent="0.2">
      <c r="B250" s="11"/>
      <c r="C250" s="1"/>
      <c r="D250" s="1"/>
      <c r="E250" s="1"/>
      <c r="F250" s="1"/>
      <c r="G250" s="352"/>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3"/>
      <c r="AK250" s="353"/>
      <c r="AL250" s="353"/>
      <c r="AM250" s="354"/>
      <c r="AN250" s="1"/>
      <c r="AO250" s="14"/>
      <c r="AP250" s="1"/>
    </row>
    <row r="251" spans="2:42" ht="22" customHeight="1" x14ac:dyDescent="0.2">
      <c r="B251" s="11"/>
      <c r="C251" s="1"/>
      <c r="D251" s="1"/>
      <c r="E251" s="1"/>
      <c r="F251" s="1"/>
      <c r="G251" s="352"/>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3"/>
      <c r="AK251" s="353"/>
      <c r="AL251" s="353"/>
      <c r="AM251" s="354"/>
      <c r="AN251" s="1"/>
      <c r="AO251" s="14"/>
      <c r="AP251" s="1"/>
    </row>
    <row r="252" spans="2:42" ht="22" customHeight="1" x14ac:dyDescent="0.2">
      <c r="B252" s="11"/>
      <c r="C252" s="1"/>
      <c r="D252" s="1"/>
      <c r="E252" s="1"/>
      <c r="F252" s="1"/>
      <c r="G252" s="352"/>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353"/>
      <c r="AK252" s="353"/>
      <c r="AL252" s="353"/>
      <c r="AM252" s="354"/>
      <c r="AN252" s="1"/>
      <c r="AO252" s="14"/>
      <c r="AP252" s="1"/>
    </row>
    <row r="253" spans="2:42" ht="22" customHeight="1" x14ac:dyDescent="0.2">
      <c r="B253" s="11"/>
      <c r="C253" s="1"/>
      <c r="D253" s="1"/>
      <c r="E253" s="1"/>
      <c r="F253" s="1"/>
      <c r="G253" s="352"/>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353"/>
      <c r="AK253" s="353"/>
      <c r="AL253" s="353"/>
      <c r="AM253" s="354"/>
      <c r="AN253" s="1"/>
      <c r="AO253" s="14"/>
      <c r="AP253" s="1"/>
    </row>
    <row r="254" spans="2:42" ht="22" customHeight="1" x14ac:dyDescent="0.2">
      <c r="B254" s="11"/>
      <c r="C254" s="1"/>
      <c r="D254" s="1"/>
      <c r="E254" s="1"/>
      <c r="F254" s="1"/>
      <c r="G254" s="355"/>
      <c r="H254" s="356"/>
      <c r="I254" s="356"/>
      <c r="J254" s="356"/>
      <c r="K254" s="356"/>
      <c r="L254" s="356"/>
      <c r="M254" s="356"/>
      <c r="N254" s="356"/>
      <c r="O254" s="356"/>
      <c r="P254" s="356"/>
      <c r="Q254" s="356"/>
      <c r="R254" s="356"/>
      <c r="S254" s="356"/>
      <c r="T254" s="356"/>
      <c r="U254" s="356"/>
      <c r="V254" s="356"/>
      <c r="W254" s="356"/>
      <c r="X254" s="356"/>
      <c r="Y254" s="356"/>
      <c r="Z254" s="356"/>
      <c r="AA254" s="356"/>
      <c r="AB254" s="356"/>
      <c r="AC254" s="356"/>
      <c r="AD254" s="356"/>
      <c r="AE254" s="356"/>
      <c r="AF254" s="356"/>
      <c r="AG254" s="356"/>
      <c r="AH254" s="356"/>
      <c r="AI254" s="356"/>
      <c r="AJ254" s="356"/>
      <c r="AK254" s="356"/>
      <c r="AL254" s="356"/>
      <c r="AM254" s="357"/>
      <c r="AN254" s="1"/>
      <c r="AO254" s="14"/>
      <c r="AP254" s="1"/>
    </row>
    <row r="255" spans="2:42" x14ac:dyDescent="0.2">
      <c r="B255" s="1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4"/>
      <c r="AP255" s="1"/>
    </row>
    <row r="256" spans="2:42" x14ac:dyDescent="0.2">
      <c r="B256" s="145"/>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c r="AA256" s="146"/>
      <c r="AB256" s="146"/>
      <c r="AC256" s="146"/>
      <c r="AD256" s="146"/>
      <c r="AE256" s="146"/>
      <c r="AF256" s="146"/>
      <c r="AG256" s="146"/>
      <c r="AH256" s="146"/>
      <c r="AI256" s="146"/>
      <c r="AJ256" s="146"/>
      <c r="AK256" s="146"/>
      <c r="AL256" s="146"/>
      <c r="AM256" s="146"/>
      <c r="AN256" s="146"/>
      <c r="AO256" s="100"/>
      <c r="AP256" s="1"/>
    </row>
    <row r="257" spans="2:43" x14ac:dyDescent="0.2">
      <c r="B257" s="1" t="s">
        <v>201</v>
      </c>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spans="2:43" x14ac:dyDescent="0.2">
      <c r="B258" s="1" t="s">
        <v>202</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spans="2:43" ht="12" customHeight="1" x14ac:dyDescent="0.2">
      <c r="B259" s="231" t="str">
        <f>$B$1</f>
        <v>e-mail：kaitoku@jsps.go.jp</v>
      </c>
      <c r="C259" s="231"/>
      <c r="D259" s="231"/>
      <c r="E259" s="231"/>
      <c r="F259" s="231"/>
      <c r="G259" s="231"/>
      <c r="H259" s="231"/>
      <c r="I259" s="231"/>
      <c r="J259" s="231"/>
      <c r="K259" s="231"/>
      <c r="L259" s="231"/>
      <c r="M259" s="231"/>
      <c r="N259" s="231"/>
      <c r="O259" s="216"/>
      <c r="P259" s="216"/>
      <c r="Q259" s="216"/>
      <c r="R259" s="216"/>
      <c r="S259" s="1"/>
      <c r="T259" s="1"/>
      <c r="U259" s="1"/>
      <c r="V259" s="1"/>
      <c r="W259" s="1"/>
      <c r="X259" s="1"/>
      <c r="Y259" s="1"/>
      <c r="Z259" s="1"/>
      <c r="AA259" s="83"/>
      <c r="AB259" s="83"/>
      <c r="AC259" s="237" t="str">
        <f>$AC$1</f>
        <v>令和　　　7年　　　12月　　　12日</v>
      </c>
      <c r="AD259" s="237"/>
      <c r="AE259" s="237"/>
      <c r="AF259" s="237"/>
      <c r="AG259" s="237"/>
      <c r="AH259" s="237"/>
      <c r="AI259" s="237"/>
      <c r="AJ259" s="237"/>
      <c r="AK259" s="237"/>
      <c r="AL259" s="237"/>
      <c r="AM259" s="237"/>
      <c r="AN259" s="195"/>
      <c r="AO259" s="196" t="s">
        <v>1</v>
      </c>
      <c r="AP259" s="1"/>
    </row>
    <row r="260" spans="2:43" ht="12" customHeight="1" x14ac:dyDescent="0.2">
      <c r="B260" s="231" t="str">
        <f>$B$2</f>
        <v>日本学術振興会 海外特別研究員担当 宛</v>
      </c>
      <c r="C260" s="231"/>
      <c r="D260" s="231"/>
      <c r="E260" s="231"/>
      <c r="F260" s="231"/>
      <c r="G260" s="231"/>
      <c r="H260" s="231"/>
      <c r="I260" s="231"/>
      <c r="J260" s="231"/>
      <c r="K260" s="231"/>
      <c r="L260" s="231"/>
      <c r="M260" s="231"/>
      <c r="N260" s="231"/>
      <c r="O260" s="216"/>
      <c r="P260" s="216"/>
      <c r="Q260" s="216"/>
      <c r="R260" s="216"/>
      <c r="S260" s="1"/>
      <c r="T260" s="1"/>
      <c r="U260" s="1"/>
      <c r="V260" s="1"/>
      <c r="W260" s="1"/>
      <c r="X260" s="1"/>
      <c r="Y260" s="1"/>
      <c r="Z260" s="1"/>
      <c r="AA260" s="83"/>
      <c r="AB260" s="83"/>
      <c r="AC260" s="83"/>
      <c r="AD260" s="83"/>
      <c r="AE260" s="83"/>
      <c r="AF260" s="83"/>
      <c r="AG260" s="83"/>
      <c r="AH260" s="83"/>
      <c r="AI260" s="1"/>
      <c r="AJ260" s="1"/>
      <c r="AK260" s="1"/>
      <c r="AL260" s="1"/>
      <c r="AM260" s="1"/>
      <c r="AN260" s="1"/>
      <c r="AO260" s="82"/>
      <c r="AP260" s="1"/>
    </row>
    <row r="261" spans="2:43" ht="7" customHeight="1" x14ac:dyDescent="0.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spans="2:43" s="6" customFormat="1" ht="20.25" customHeight="1" x14ac:dyDescent="0.2">
      <c r="C262" s="190"/>
      <c r="D262" s="190"/>
      <c r="E262" s="190"/>
      <c r="F262" s="190"/>
      <c r="G262" s="235" t="str">
        <f>$G$4</f>
        <v>海外特別研究員の就職状況等について（調査票）</v>
      </c>
      <c r="H262" s="235"/>
      <c r="I262" s="235"/>
      <c r="J262" s="235"/>
      <c r="K262" s="235"/>
      <c r="L262" s="235"/>
      <c r="M262" s="235"/>
      <c r="N262" s="235"/>
      <c r="O262" s="235"/>
      <c r="P262" s="235"/>
      <c r="Q262" s="235"/>
      <c r="R262" s="235"/>
      <c r="S262" s="235"/>
      <c r="T262" s="235"/>
      <c r="U262" s="235"/>
      <c r="V262" s="235"/>
      <c r="W262" s="235"/>
      <c r="X262" s="235"/>
      <c r="Y262" s="235"/>
      <c r="Z262" s="235"/>
      <c r="AA262" s="235"/>
      <c r="AB262" s="235"/>
      <c r="AC262" s="235"/>
      <c r="AD262" s="236" t="s">
        <v>203</v>
      </c>
      <c r="AE262" s="236"/>
      <c r="AF262" s="191" t="str">
        <f>$AF$4</f>
        <v>＜様式3-3＞</v>
      </c>
      <c r="AG262" s="190"/>
      <c r="AH262" s="190"/>
      <c r="AI262" s="190"/>
      <c r="AJ262" s="190"/>
      <c r="AK262" s="190"/>
      <c r="AL262" s="190"/>
      <c r="AM262" s="190"/>
      <c r="AN262" s="190"/>
      <c r="AO262" s="190"/>
      <c r="AP262" s="143"/>
    </row>
    <row r="263" spans="2:43" ht="7" customHeight="1" x14ac:dyDescent="0.2">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c r="AD263" s="125"/>
      <c r="AE263" s="125"/>
      <c r="AF263" s="125"/>
      <c r="AG263" s="125"/>
      <c r="AH263" s="125"/>
      <c r="AI263" s="125"/>
      <c r="AJ263" s="125"/>
      <c r="AK263" s="125"/>
      <c r="AL263" s="125"/>
      <c r="AM263" s="125"/>
      <c r="AN263" s="125"/>
      <c r="AO263" s="125"/>
      <c r="AP263" s="84"/>
      <c r="AQ263" s="85"/>
    </row>
    <row r="264" spans="2:43" ht="12" customHeight="1" thickBot="1" x14ac:dyDescent="0.25">
      <c r="B264" s="185"/>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c r="AF264" s="186"/>
      <c r="AG264" s="186"/>
      <c r="AH264" s="186"/>
      <c r="AI264" s="186"/>
      <c r="AJ264" s="186"/>
      <c r="AK264" s="186"/>
      <c r="AL264" s="186"/>
      <c r="AM264" s="186"/>
      <c r="AN264" s="186"/>
      <c r="AO264" s="187"/>
      <c r="AP264" s="84"/>
      <c r="AQ264" s="85"/>
    </row>
    <row r="265" spans="2:43" s="15" customFormat="1" ht="18" customHeight="1" thickTop="1" thickBot="1" x14ac:dyDescent="0.25">
      <c r="B265" s="161"/>
      <c r="C265" s="162" t="s">
        <v>204</v>
      </c>
      <c r="D265" s="163"/>
      <c r="E265" s="163"/>
      <c r="F265" s="163" t="s">
        <v>205</v>
      </c>
      <c r="G265" s="163"/>
      <c r="H265" s="163"/>
      <c r="I265" s="163"/>
      <c r="J265" s="163"/>
      <c r="K265" s="163"/>
      <c r="L265" s="163"/>
      <c r="M265" s="163"/>
      <c r="N265" s="163"/>
      <c r="O265" s="163"/>
      <c r="P265" s="163"/>
      <c r="Q265" s="163"/>
      <c r="R265" s="163"/>
      <c r="S265" s="163"/>
      <c r="T265" s="163"/>
      <c r="U265" s="163"/>
      <c r="V265" s="163"/>
      <c r="W265" s="163"/>
      <c r="X265" s="163"/>
      <c r="Y265" s="163"/>
      <c r="Z265" s="163"/>
      <c r="AA265" s="163"/>
      <c r="AB265" s="163"/>
      <c r="AC265" s="163"/>
      <c r="AD265" s="163"/>
      <c r="AE265" s="163"/>
      <c r="AF265" s="163"/>
      <c r="AG265" s="163"/>
      <c r="AH265" s="163"/>
      <c r="AI265" s="163"/>
      <c r="AJ265" s="163"/>
      <c r="AK265" s="163"/>
      <c r="AL265" s="163"/>
      <c r="AM265" s="163"/>
      <c r="AN265" s="164"/>
      <c r="AO265" s="165"/>
    </row>
    <row r="266" spans="2:43" ht="12.5" thickTop="1" x14ac:dyDescent="0.2">
      <c r="B266" s="1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4"/>
      <c r="AP266" s="1"/>
    </row>
    <row r="267" spans="2:43" ht="12.5" x14ac:dyDescent="0.2">
      <c r="B267" s="11"/>
      <c r="C267" s="1"/>
      <c r="D267" s="134" t="s">
        <v>206</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4"/>
      <c r="AP267" s="1"/>
    </row>
    <row r="268" spans="2:43" ht="12" customHeight="1" x14ac:dyDescent="0.2">
      <c r="B268" s="11"/>
      <c r="C268" s="1"/>
      <c r="D268" s="1"/>
      <c r="E268" s="1"/>
      <c r="F268" s="1"/>
      <c r="G268" s="304"/>
      <c r="H268" s="305"/>
      <c r="I268" s="305"/>
      <c r="J268" s="305"/>
      <c r="K268" s="305"/>
      <c r="L268" s="305"/>
      <c r="M268" s="305"/>
      <c r="N268" s="305"/>
      <c r="O268" s="305"/>
      <c r="P268" s="305"/>
      <c r="Q268" s="305"/>
      <c r="R268" s="305"/>
      <c r="S268" s="305"/>
      <c r="T268" s="305"/>
      <c r="U268" s="305"/>
      <c r="V268" s="305"/>
      <c r="W268" s="305"/>
      <c r="X268" s="305"/>
      <c r="Y268" s="305"/>
      <c r="Z268" s="305"/>
      <c r="AA268" s="305"/>
      <c r="AB268" s="305"/>
      <c r="AC268" s="305"/>
      <c r="AD268" s="305"/>
      <c r="AE268" s="305"/>
      <c r="AF268" s="305"/>
      <c r="AG268" s="305"/>
      <c r="AH268" s="305"/>
      <c r="AI268" s="305"/>
      <c r="AJ268" s="305"/>
      <c r="AK268" s="305"/>
      <c r="AL268" s="305"/>
      <c r="AM268" s="306"/>
      <c r="AN268" s="1"/>
      <c r="AO268" s="14"/>
      <c r="AP268" s="1"/>
    </row>
    <row r="269" spans="2:43" ht="12" customHeight="1" x14ac:dyDescent="0.2">
      <c r="B269" s="11"/>
      <c r="C269" s="1"/>
      <c r="D269" s="1"/>
      <c r="E269" s="1"/>
      <c r="F269" s="1"/>
      <c r="G269" s="307"/>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c r="AH269" s="308"/>
      <c r="AI269" s="308"/>
      <c r="AJ269" s="308"/>
      <c r="AK269" s="308"/>
      <c r="AL269" s="308"/>
      <c r="AM269" s="309"/>
      <c r="AN269" s="1"/>
      <c r="AO269" s="14"/>
      <c r="AP269" s="1"/>
    </row>
    <row r="270" spans="2:43" ht="12" customHeight="1" x14ac:dyDescent="0.2">
      <c r="B270" s="11"/>
      <c r="C270" s="1"/>
      <c r="D270" s="1"/>
      <c r="E270" s="1"/>
      <c r="F270" s="1"/>
      <c r="G270" s="321"/>
      <c r="H270" s="322"/>
      <c r="I270" s="322"/>
      <c r="J270" s="322"/>
      <c r="K270" s="322"/>
      <c r="L270" s="322"/>
      <c r="M270" s="322"/>
      <c r="N270" s="322"/>
      <c r="O270" s="322"/>
      <c r="P270" s="322"/>
      <c r="Q270" s="322"/>
      <c r="R270" s="322"/>
      <c r="S270" s="322"/>
      <c r="T270" s="322"/>
      <c r="U270" s="322"/>
      <c r="V270" s="322"/>
      <c r="W270" s="322"/>
      <c r="X270" s="322"/>
      <c r="Y270" s="322"/>
      <c r="Z270" s="322"/>
      <c r="AA270" s="322"/>
      <c r="AB270" s="322"/>
      <c r="AC270" s="322"/>
      <c r="AD270" s="322"/>
      <c r="AE270" s="322"/>
      <c r="AF270" s="322"/>
      <c r="AG270" s="322"/>
      <c r="AH270" s="322"/>
      <c r="AI270" s="322"/>
      <c r="AJ270" s="322"/>
      <c r="AK270" s="322"/>
      <c r="AL270" s="322"/>
      <c r="AM270" s="323"/>
      <c r="AN270" s="1"/>
      <c r="AO270" s="14"/>
      <c r="AP270" s="1"/>
    </row>
    <row r="271" spans="2:43" ht="12" customHeight="1" x14ac:dyDescent="0.2">
      <c r="B271" s="11"/>
      <c r="C271" s="1"/>
      <c r="D271" s="1"/>
      <c r="E271" s="1"/>
      <c r="F271" s="1"/>
      <c r="G271" s="188"/>
      <c r="H271" s="188"/>
      <c r="I271" s="188"/>
      <c r="J271" s="188"/>
      <c r="K271" s="188"/>
      <c r="L271" s="188"/>
      <c r="M271" s="188"/>
      <c r="N271" s="188"/>
      <c r="O271" s="188"/>
      <c r="P271" s="188"/>
      <c r="Q271" s="188"/>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
      <c r="AO271" s="14"/>
      <c r="AP271" s="1"/>
    </row>
    <row r="272" spans="2:43" x14ac:dyDescent="0.2">
      <c r="B272" s="1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4"/>
      <c r="AP272" s="1"/>
    </row>
    <row r="273" spans="2:42" ht="12.5" x14ac:dyDescent="0.2">
      <c r="B273" s="11"/>
      <c r="C273" s="1"/>
      <c r="D273" s="134" t="s">
        <v>207</v>
      </c>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4"/>
      <c r="AP273" s="1"/>
    </row>
    <row r="274" spans="2:42" x14ac:dyDescent="0.2">
      <c r="B274" s="11"/>
      <c r="C274" s="1"/>
      <c r="D274" s="1"/>
      <c r="E274" s="1" t="s">
        <v>208</v>
      </c>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4"/>
      <c r="AP274" s="1"/>
    </row>
    <row r="275" spans="2:42" ht="15" customHeight="1" x14ac:dyDescent="0.2">
      <c r="B275" s="11"/>
      <c r="C275" s="1"/>
      <c r="D275" s="1"/>
      <c r="E275" s="1"/>
      <c r="F275" s="1"/>
      <c r="G275" s="1" t="s">
        <v>209</v>
      </c>
      <c r="H275" s="1"/>
      <c r="I275" s="1"/>
      <c r="N275" s="1"/>
      <c r="O275" s="1" t="s">
        <v>210</v>
      </c>
      <c r="P275" s="1"/>
      <c r="Q275" s="1"/>
      <c r="R275" s="1"/>
      <c r="V275" s="1"/>
      <c r="W275" s="1"/>
      <c r="X275" s="1"/>
      <c r="Y275" s="1" t="s">
        <v>211</v>
      </c>
      <c r="AB275" s="1"/>
      <c r="AC275" s="1"/>
      <c r="AD275" s="1"/>
      <c r="AF275" s="1"/>
      <c r="AG275" s="1" t="s">
        <v>212</v>
      </c>
      <c r="AL275" s="1"/>
      <c r="AM275" s="1"/>
      <c r="AN275" s="1"/>
      <c r="AO275" s="14"/>
      <c r="AP275" s="1"/>
    </row>
    <row r="276" spans="2:42" ht="3" customHeight="1" x14ac:dyDescent="0.2">
      <c r="B276" s="1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D276" s="1"/>
      <c r="AE276" s="1"/>
      <c r="AF276" s="1"/>
      <c r="AG276" s="1"/>
      <c r="AI276" s="1"/>
      <c r="AJ276" s="1"/>
      <c r="AK276" s="1"/>
      <c r="AL276" s="1"/>
      <c r="AM276" s="1"/>
      <c r="AN276" s="1"/>
      <c r="AO276" s="14"/>
      <c r="AP276" s="1"/>
    </row>
    <row r="277" spans="2:42" ht="15" customHeight="1" x14ac:dyDescent="0.2">
      <c r="B277" s="11"/>
      <c r="C277" s="1"/>
      <c r="D277" s="1"/>
      <c r="E277" s="1"/>
      <c r="G277" s="1" t="s">
        <v>213</v>
      </c>
      <c r="H277" s="1"/>
      <c r="O277" s="1" t="s">
        <v>214</v>
      </c>
      <c r="P277" s="1"/>
      <c r="X277" s="1"/>
      <c r="Y277" s="1" t="s">
        <v>215</v>
      </c>
      <c r="AO277" s="14"/>
      <c r="AP277" s="1"/>
    </row>
    <row r="278" spans="2:42" ht="3" customHeight="1" x14ac:dyDescent="0.2">
      <c r="B278" s="11"/>
      <c r="C278" s="1"/>
      <c r="D278" s="1"/>
      <c r="E278" s="1"/>
      <c r="G278" s="1"/>
      <c r="H278" s="1"/>
      <c r="M278" s="1"/>
      <c r="N278" s="1"/>
      <c r="O278" s="1"/>
      <c r="P278" s="1"/>
      <c r="S278" s="1"/>
      <c r="T278" s="1"/>
      <c r="U278" s="1"/>
      <c r="W278" s="1"/>
      <c r="X278" s="1"/>
      <c r="Y278" s="1"/>
      <c r="Z278" s="1"/>
      <c r="AA278" s="109"/>
      <c r="AB278" s="112"/>
      <c r="AC278" s="112"/>
      <c r="AD278" s="112"/>
      <c r="AE278" s="112"/>
      <c r="AF278" s="112"/>
      <c r="AG278" s="112"/>
      <c r="AH278" s="112"/>
      <c r="AI278" s="112"/>
      <c r="AJ278" s="112"/>
      <c r="AK278" s="112"/>
      <c r="AL278" s="112"/>
      <c r="AM278" s="112"/>
      <c r="AN278" s="112"/>
      <c r="AO278" s="14"/>
      <c r="AP278" s="1"/>
    </row>
    <row r="279" spans="2:42" ht="15" customHeight="1" x14ac:dyDescent="0.2">
      <c r="B279" s="11"/>
      <c r="C279" s="1"/>
      <c r="D279" s="1"/>
      <c r="E279" s="1"/>
      <c r="G279" s="1" t="s">
        <v>216</v>
      </c>
      <c r="H279" s="1"/>
      <c r="I279" s="1"/>
      <c r="J279" s="1"/>
      <c r="K279" s="109" t="s">
        <v>78</v>
      </c>
      <c r="L279" s="316"/>
      <c r="M279" s="317"/>
      <c r="N279" s="317"/>
      <c r="O279" s="317"/>
      <c r="P279" s="317"/>
      <c r="Q279" s="317"/>
      <c r="R279" s="317"/>
      <c r="S279" s="317"/>
      <c r="T279" s="317"/>
      <c r="U279" s="317"/>
      <c r="V279" s="317"/>
      <c r="W279" s="317"/>
      <c r="X279" s="317"/>
      <c r="Y279" s="317"/>
      <c r="Z279" s="317"/>
      <c r="AA279" s="317"/>
      <c r="AB279" s="317"/>
      <c r="AC279" s="317"/>
      <c r="AD279" s="317"/>
      <c r="AE279" s="317"/>
      <c r="AF279" s="317"/>
      <c r="AG279" s="317"/>
      <c r="AH279" s="317"/>
      <c r="AI279" s="317"/>
      <c r="AJ279" s="317"/>
      <c r="AK279" s="317"/>
      <c r="AL279" s="317"/>
      <c r="AM279" s="318"/>
      <c r="AN279" s="1" t="s">
        <v>79</v>
      </c>
      <c r="AO279" s="14"/>
      <c r="AP279" s="1"/>
    </row>
    <row r="280" spans="2:42" x14ac:dyDescent="0.2">
      <c r="B280" s="11"/>
      <c r="C280" s="1"/>
      <c r="D280" s="1"/>
      <c r="E280" s="1"/>
      <c r="F280" s="1"/>
      <c r="G280" s="1"/>
      <c r="H280" s="1"/>
      <c r="I280" s="1"/>
      <c r="J280" s="1"/>
      <c r="K280" s="1"/>
      <c r="L280" s="1"/>
      <c r="M280" s="1"/>
      <c r="O280" s="1"/>
      <c r="P280" s="1"/>
      <c r="Q280" s="1"/>
      <c r="R280" s="1"/>
      <c r="S280" s="109"/>
      <c r="T280" s="360"/>
      <c r="U280" s="360"/>
      <c r="V280" s="360"/>
      <c r="W280" s="360"/>
      <c r="X280" s="360"/>
      <c r="Y280" s="360"/>
      <c r="Z280" s="360"/>
      <c r="AA280" s="360"/>
      <c r="AB280" s="360"/>
      <c r="AC280" s="360"/>
      <c r="AD280" s="1"/>
      <c r="AE280" s="1"/>
      <c r="AF280" s="1"/>
      <c r="AG280" s="1"/>
      <c r="AH280" s="1"/>
      <c r="AI280" s="1"/>
      <c r="AJ280" s="1"/>
      <c r="AK280" s="1"/>
      <c r="AL280" s="1"/>
      <c r="AM280" s="1"/>
      <c r="AN280" s="1"/>
      <c r="AO280" s="14"/>
      <c r="AP280" s="1"/>
    </row>
    <row r="281" spans="2:42" x14ac:dyDescent="0.2">
      <c r="B281" s="11"/>
      <c r="C281" s="1"/>
      <c r="D281" s="1"/>
      <c r="E281" s="1" t="s">
        <v>217</v>
      </c>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4"/>
      <c r="AP281" s="1"/>
    </row>
    <row r="282" spans="2:42" ht="15" customHeight="1" x14ac:dyDescent="0.2">
      <c r="B282" s="11"/>
      <c r="C282" s="1"/>
      <c r="D282" s="1"/>
      <c r="E282" s="1"/>
      <c r="F282" s="1"/>
      <c r="G282" s="1" t="s">
        <v>218</v>
      </c>
      <c r="H282" s="1"/>
      <c r="I282" s="1"/>
      <c r="J282" s="1"/>
      <c r="K282" s="1"/>
      <c r="L282" s="1"/>
      <c r="M282" s="1"/>
      <c r="N282" s="1"/>
      <c r="Q282" s="1"/>
      <c r="R282" s="1" t="s">
        <v>219</v>
      </c>
      <c r="S282" s="1"/>
      <c r="T282" s="1"/>
      <c r="U282" s="1"/>
      <c r="V282" s="1"/>
      <c r="W282" s="1"/>
      <c r="Z282" s="1"/>
      <c r="AA282" s="1" t="s">
        <v>220</v>
      </c>
      <c r="AB282" s="1"/>
      <c r="AO282" s="14"/>
      <c r="AP282" s="1"/>
    </row>
    <row r="283" spans="2:42" ht="3" customHeight="1" x14ac:dyDescent="0.2">
      <c r="B283" s="1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D283" s="1"/>
      <c r="AE283" s="1"/>
      <c r="AF283" s="1"/>
      <c r="AG283" s="1"/>
      <c r="AI283" s="1"/>
      <c r="AJ283" s="1"/>
      <c r="AK283" s="1"/>
      <c r="AL283" s="1"/>
      <c r="AM283" s="1"/>
      <c r="AN283" s="1"/>
      <c r="AO283" s="14"/>
      <c r="AP283" s="1"/>
    </row>
    <row r="284" spans="2:42" ht="15" customHeight="1" x14ac:dyDescent="0.2">
      <c r="B284" s="11"/>
      <c r="C284" s="1"/>
      <c r="D284" s="1"/>
      <c r="E284" s="1"/>
      <c r="F284" s="1"/>
      <c r="G284" s="1" t="s">
        <v>221</v>
      </c>
      <c r="H284" s="1"/>
      <c r="I284" s="1"/>
      <c r="K284" s="109" t="s">
        <v>78</v>
      </c>
      <c r="L284" s="316"/>
      <c r="M284" s="317"/>
      <c r="N284" s="317"/>
      <c r="O284" s="317"/>
      <c r="P284" s="317"/>
      <c r="Q284" s="317"/>
      <c r="R284" s="317"/>
      <c r="S284" s="317"/>
      <c r="T284" s="317"/>
      <c r="U284" s="317"/>
      <c r="V284" s="317"/>
      <c r="W284" s="317"/>
      <c r="X284" s="317"/>
      <c r="Y284" s="317"/>
      <c r="Z284" s="317"/>
      <c r="AA284" s="317"/>
      <c r="AB284" s="317"/>
      <c r="AC284" s="317"/>
      <c r="AD284" s="317"/>
      <c r="AE284" s="317"/>
      <c r="AF284" s="317"/>
      <c r="AG284" s="317"/>
      <c r="AH284" s="317"/>
      <c r="AI284" s="317"/>
      <c r="AJ284" s="317"/>
      <c r="AK284" s="317"/>
      <c r="AL284" s="317"/>
      <c r="AM284" s="318"/>
      <c r="AN284" s="1" t="s">
        <v>79</v>
      </c>
      <c r="AO284" s="14"/>
      <c r="AP284" s="1"/>
    </row>
    <row r="285" spans="2:42" x14ac:dyDescent="0.2">
      <c r="B285" s="1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4"/>
      <c r="AP285" s="1"/>
    </row>
    <row r="286" spans="2:42" x14ac:dyDescent="0.2">
      <c r="B286" s="11"/>
      <c r="C286" s="1"/>
      <c r="D286" s="1"/>
      <c r="E286" s="1" t="s">
        <v>222</v>
      </c>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4"/>
      <c r="AP286" s="1"/>
    </row>
    <row r="287" spans="2:42" ht="15" customHeight="1" x14ac:dyDescent="0.2">
      <c r="B287" s="11"/>
      <c r="C287" s="1"/>
      <c r="D287" s="1"/>
      <c r="E287" s="1"/>
      <c r="F287" s="1"/>
      <c r="G287" s="1" t="s">
        <v>223</v>
      </c>
      <c r="H287" s="1"/>
      <c r="I287" s="1"/>
      <c r="J287" s="1"/>
      <c r="K287" s="1"/>
      <c r="L287" s="1"/>
      <c r="M287" s="1"/>
      <c r="N287" s="1"/>
      <c r="O287" s="1"/>
      <c r="P287" s="1"/>
      <c r="Q287" s="1"/>
      <c r="R287" s="1"/>
      <c r="S287" s="1"/>
      <c r="T287" s="1"/>
      <c r="U287" s="1"/>
      <c r="X287" s="1" t="s">
        <v>224</v>
      </c>
      <c r="Y287" s="1"/>
      <c r="Z287" s="1"/>
      <c r="AA287" s="1"/>
      <c r="AB287" s="1"/>
      <c r="AC287" s="1"/>
      <c r="AD287" s="1"/>
      <c r="AE287" s="1"/>
      <c r="AF287" s="1"/>
      <c r="AG287" s="1"/>
      <c r="AH287" s="1"/>
      <c r="AI287" s="1"/>
      <c r="AJ287" s="1"/>
      <c r="AK287" s="1"/>
      <c r="AL287" s="1"/>
      <c r="AM287" s="1"/>
      <c r="AN287" s="1"/>
      <c r="AO287" s="14"/>
      <c r="AP287" s="1"/>
    </row>
    <row r="288" spans="2:42" ht="3" customHeight="1" x14ac:dyDescent="0.2">
      <c r="B288" s="1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4"/>
      <c r="AP288" s="1"/>
    </row>
    <row r="289" spans="2:42" ht="15" customHeight="1" x14ac:dyDescent="0.2">
      <c r="B289" s="11"/>
      <c r="C289" s="1"/>
      <c r="D289" s="1"/>
      <c r="E289" s="1"/>
      <c r="F289" s="1"/>
      <c r="G289" s="1" t="s">
        <v>225</v>
      </c>
      <c r="H289" s="1"/>
      <c r="I289" s="1"/>
      <c r="J289" s="1"/>
      <c r="K289" s="109" t="s">
        <v>78</v>
      </c>
      <c r="L289" s="316"/>
      <c r="M289" s="317"/>
      <c r="N289" s="317"/>
      <c r="O289" s="317"/>
      <c r="P289" s="317"/>
      <c r="Q289" s="317"/>
      <c r="R289" s="317"/>
      <c r="S289" s="317"/>
      <c r="T289" s="317"/>
      <c r="U289" s="317"/>
      <c r="V289" s="317"/>
      <c r="W289" s="317"/>
      <c r="X289" s="317"/>
      <c r="Y289" s="317"/>
      <c r="Z289" s="317"/>
      <c r="AA289" s="317"/>
      <c r="AB289" s="317"/>
      <c r="AC289" s="317"/>
      <c r="AD289" s="317"/>
      <c r="AE289" s="317"/>
      <c r="AF289" s="317"/>
      <c r="AG289" s="317"/>
      <c r="AH289" s="317"/>
      <c r="AI289" s="317"/>
      <c r="AJ289" s="317"/>
      <c r="AK289" s="317"/>
      <c r="AL289" s="317"/>
      <c r="AM289" s="318"/>
      <c r="AN289" s="1" t="s">
        <v>79</v>
      </c>
      <c r="AO289" s="14"/>
      <c r="AP289" s="1"/>
    </row>
    <row r="290" spans="2:42" x14ac:dyDescent="0.2">
      <c r="B290" s="11"/>
      <c r="C290" s="1"/>
      <c r="D290" s="1"/>
      <c r="E290" s="1"/>
      <c r="F290" s="1"/>
      <c r="G290" s="1"/>
      <c r="H290" s="1"/>
      <c r="I290" s="1"/>
      <c r="J290" s="1"/>
      <c r="K290" s="1"/>
      <c r="V290" s="1"/>
      <c r="W290" s="1"/>
      <c r="X290" s="1"/>
      <c r="Y290" s="1"/>
      <c r="Z290" s="1"/>
      <c r="AA290" s="1"/>
      <c r="AB290" s="1"/>
      <c r="AC290" s="1"/>
      <c r="AD290" s="1"/>
      <c r="AE290" s="1"/>
      <c r="AF290" s="1"/>
      <c r="AG290" s="1"/>
      <c r="AH290" s="1"/>
      <c r="AI290" s="1"/>
      <c r="AJ290" s="1"/>
      <c r="AK290" s="1"/>
      <c r="AL290" s="1"/>
      <c r="AM290" s="1"/>
      <c r="AN290" s="1"/>
      <c r="AO290" s="14"/>
      <c r="AP290" s="1"/>
    </row>
    <row r="291" spans="2:42" x14ac:dyDescent="0.2">
      <c r="B291" s="11"/>
      <c r="C291" s="1"/>
      <c r="D291" s="1"/>
      <c r="E291" s="1" t="s">
        <v>226</v>
      </c>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4"/>
      <c r="AP291" s="1"/>
    </row>
    <row r="292" spans="2:42" ht="15" customHeight="1" x14ac:dyDescent="0.2">
      <c r="B292" s="11"/>
      <c r="C292" s="1"/>
      <c r="D292" s="1"/>
      <c r="E292" s="1"/>
      <c r="F292" s="1"/>
      <c r="G292" s="1" t="s">
        <v>227</v>
      </c>
      <c r="H292" s="1"/>
      <c r="I292" s="1"/>
      <c r="J292" s="1"/>
      <c r="K292" s="1"/>
      <c r="L292" s="1"/>
      <c r="N292" s="1"/>
      <c r="O292" s="1" t="s">
        <v>228</v>
      </c>
      <c r="P292" s="1"/>
      <c r="Q292" s="1"/>
      <c r="R292" s="1"/>
      <c r="S292" s="1"/>
      <c r="T292" s="1"/>
      <c r="U292" s="1"/>
      <c r="V292" s="1"/>
      <c r="X292" s="1" t="s">
        <v>229</v>
      </c>
      <c r="Y292" s="1"/>
      <c r="AD292" s="1" t="s">
        <v>230</v>
      </c>
      <c r="AE292" s="1"/>
      <c r="AF292" s="1"/>
      <c r="AG292" s="1"/>
      <c r="AH292" s="1"/>
      <c r="AI292" s="1"/>
      <c r="AJ292" s="1"/>
      <c r="AK292" s="1"/>
      <c r="AL292" s="1"/>
      <c r="AM292" s="1"/>
      <c r="AN292" s="1"/>
      <c r="AO292" s="14"/>
      <c r="AP292" s="1"/>
    </row>
    <row r="293" spans="2:42" ht="3" customHeight="1" x14ac:dyDescent="0.2">
      <c r="B293" s="1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4"/>
      <c r="AP293" s="1"/>
    </row>
    <row r="294" spans="2:42" ht="15" customHeight="1" x14ac:dyDescent="0.2">
      <c r="B294" s="11"/>
      <c r="C294" s="1"/>
      <c r="D294" s="1"/>
      <c r="E294" s="1"/>
      <c r="F294" s="1"/>
      <c r="G294" s="1" t="s">
        <v>231</v>
      </c>
      <c r="H294" s="1"/>
      <c r="I294" s="1"/>
      <c r="J294" s="1"/>
      <c r="K294" s="109" t="s">
        <v>78</v>
      </c>
      <c r="L294" s="316"/>
      <c r="M294" s="317"/>
      <c r="N294" s="317"/>
      <c r="O294" s="317"/>
      <c r="P294" s="317"/>
      <c r="Q294" s="317"/>
      <c r="R294" s="317"/>
      <c r="S294" s="317"/>
      <c r="T294" s="317"/>
      <c r="U294" s="317"/>
      <c r="V294" s="317"/>
      <c r="W294" s="317"/>
      <c r="X294" s="317"/>
      <c r="Y294" s="317"/>
      <c r="Z294" s="317"/>
      <c r="AA294" s="317"/>
      <c r="AB294" s="317"/>
      <c r="AC294" s="317"/>
      <c r="AD294" s="317"/>
      <c r="AE294" s="317"/>
      <c r="AF294" s="317"/>
      <c r="AG294" s="317"/>
      <c r="AH294" s="317"/>
      <c r="AI294" s="317"/>
      <c r="AJ294" s="317"/>
      <c r="AK294" s="317"/>
      <c r="AL294" s="317"/>
      <c r="AM294" s="318"/>
      <c r="AN294" s="1" t="s">
        <v>79</v>
      </c>
      <c r="AO294" s="14"/>
      <c r="AP294" s="1"/>
    </row>
    <row r="295" spans="2:42" x14ac:dyDescent="0.2">
      <c r="B295" s="11"/>
      <c r="C295" s="1"/>
      <c r="D295" s="1"/>
      <c r="E295" s="1"/>
      <c r="F295" s="1"/>
      <c r="G295" s="1"/>
      <c r="H295" s="1"/>
      <c r="I295" s="1"/>
      <c r="J295" s="1"/>
      <c r="U295" s="1"/>
      <c r="V295" s="1"/>
      <c r="W295" s="1"/>
      <c r="X295" s="1"/>
      <c r="Y295" s="1"/>
      <c r="Z295" s="1"/>
      <c r="AA295" s="1"/>
      <c r="AB295" s="1"/>
      <c r="AC295" s="1"/>
      <c r="AD295" s="1"/>
      <c r="AE295" s="1"/>
      <c r="AF295" s="1"/>
      <c r="AG295" s="1"/>
      <c r="AH295" s="1"/>
      <c r="AI295" s="1"/>
      <c r="AJ295" s="1"/>
      <c r="AK295" s="1"/>
      <c r="AL295" s="1"/>
      <c r="AM295" s="1"/>
      <c r="AN295" s="1"/>
      <c r="AO295" s="14"/>
      <c r="AP295" s="1"/>
    </row>
    <row r="296" spans="2:42" x14ac:dyDescent="0.2">
      <c r="B296" s="11"/>
      <c r="C296" s="1"/>
      <c r="D296" s="1"/>
      <c r="E296" s="1" t="s">
        <v>232</v>
      </c>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4"/>
      <c r="AP296" s="1"/>
    </row>
    <row r="297" spans="2:42" ht="15" customHeight="1" x14ac:dyDescent="0.2">
      <c r="B297" s="11"/>
      <c r="C297" s="1"/>
      <c r="D297" s="1"/>
      <c r="E297" s="1"/>
      <c r="F297" s="1"/>
      <c r="G297" s="1" t="s">
        <v>233</v>
      </c>
      <c r="H297" s="1"/>
      <c r="I297" s="1"/>
      <c r="J297" s="1"/>
      <c r="K297" s="1"/>
      <c r="L297" s="1"/>
      <c r="M297" s="1"/>
      <c r="N297" s="1"/>
      <c r="O297" s="1"/>
      <c r="P297" s="1"/>
      <c r="Q297" s="1"/>
      <c r="R297" s="1"/>
      <c r="X297" s="1" t="s">
        <v>234</v>
      </c>
      <c r="Y297" s="1"/>
      <c r="AO297" s="14"/>
      <c r="AP297" s="1"/>
    </row>
    <row r="298" spans="2:42" ht="3" customHeight="1" x14ac:dyDescent="0.2">
      <c r="B298" s="11"/>
      <c r="C298" s="1"/>
      <c r="D298" s="1"/>
      <c r="E298" s="1"/>
      <c r="F298" s="1"/>
      <c r="G298" s="1"/>
      <c r="H298" s="1"/>
      <c r="I298" s="1"/>
      <c r="J298" s="1"/>
      <c r="K298" s="1"/>
      <c r="L298" s="1"/>
      <c r="M298" s="1"/>
      <c r="N298" s="1"/>
      <c r="O298" s="1"/>
      <c r="P298" s="1"/>
      <c r="Q298" s="1"/>
      <c r="R298" s="1"/>
      <c r="W298" s="1"/>
      <c r="X298" s="1"/>
      <c r="Y298" s="1"/>
      <c r="AO298" s="14"/>
      <c r="AP298" s="1"/>
    </row>
    <row r="299" spans="2:42" ht="15" customHeight="1" x14ac:dyDescent="0.2">
      <c r="B299" s="11"/>
      <c r="C299" s="1"/>
      <c r="D299" s="1"/>
      <c r="E299" s="1"/>
      <c r="F299" s="1"/>
      <c r="G299" s="1" t="s">
        <v>225</v>
      </c>
      <c r="H299" s="1"/>
      <c r="I299" s="1"/>
      <c r="J299" s="1"/>
      <c r="K299" s="109" t="s">
        <v>78</v>
      </c>
      <c r="L299" s="316"/>
      <c r="M299" s="317"/>
      <c r="N299" s="317"/>
      <c r="O299" s="317"/>
      <c r="P299" s="317"/>
      <c r="Q299" s="317"/>
      <c r="R299" s="317"/>
      <c r="S299" s="317"/>
      <c r="T299" s="317"/>
      <c r="U299" s="317"/>
      <c r="V299" s="317"/>
      <c r="W299" s="317"/>
      <c r="X299" s="317"/>
      <c r="Y299" s="317"/>
      <c r="Z299" s="317"/>
      <c r="AA299" s="317"/>
      <c r="AB299" s="317"/>
      <c r="AC299" s="317"/>
      <c r="AD299" s="317"/>
      <c r="AE299" s="317"/>
      <c r="AF299" s="317"/>
      <c r="AG299" s="317"/>
      <c r="AH299" s="317"/>
      <c r="AI299" s="317"/>
      <c r="AJ299" s="317"/>
      <c r="AK299" s="317"/>
      <c r="AL299" s="317"/>
      <c r="AM299" s="318"/>
      <c r="AN299" s="1" t="s">
        <v>79</v>
      </c>
      <c r="AO299" s="14"/>
      <c r="AP299" s="1"/>
    </row>
    <row r="300" spans="2:42" x14ac:dyDescent="0.2">
      <c r="B300" s="1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4"/>
      <c r="AP300" s="1"/>
    </row>
    <row r="301" spans="2:42" x14ac:dyDescent="0.2">
      <c r="B301" s="11"/>
      <c r="C301" s="1"/>
      <c r="D301" s="1"/>
      <c r="E301" s="1" t="s">
        <v>235</v>
      </c>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4"/>
      <c r="AP301" s="1"/>
    </row>
    <row r="302" spans="2:42" ht="15" customHeight="1" x14ac:dyDescent="0.2">
      <c r="B302" s="11"/>
      <c r="C302" s="1"/>
      <c r="D302" s="1"/>
      <c r="E302" s="1"/>
      <c r="F302" s="1"/>
      <c r="G302" s="1" t="s">
        <v>236</v>
      </c>
      <c r="H302" s="1"/>
      <c r="I302" s="1"/>
      <c r="J302" s="1"/>
      <c r="K302" s="1"/>
      <c r="N302" s="1"/>
      <c r="O302" s="1" t="s">
        <v>237</v>
      </c>
      <c r="P302" s="1"/>
      <c r="Q302" s="1"/>
      <c r="R302" s="1"/>
      <c r="S302" s="1"/>
      <c r="W302" s="1"/>
      <c r="X302" s="1" t="s">
        <v>238</v>
      </c>
      <c r="Y302" s="1"/>
      <c r="Z302" s="1"/>
      <c r="AA302" s="1"/>
      <c r="AC302" s="1"/>
      <c r="AD302" s="1" t="s">
        <v>239</v>
      </c>
      <c r="AO302" s="14"/>
      <c r="AP302" s="1"/>
    </row>
    <row r="303" spans="2:42" ht="3" customHeight="1" x14ac:dyDescent="0.2">
      <c r="B303" s="1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4"/>
      <c r="AP303" s="1"/>
    </row>
    <row r="304" spans="2:42" ht="15" customHeight="1" x14ac:dyDescent="0.2">
      <c r="B304" s="11"/>
      <c r="C304" s="1"/>
      <c r="D304" s="1"/>
      <c r="E304" s="1"/>
      <c r="F304" s="1"/>
      <c r="G304" s="1" t="s">
        <v>231</v>
      </c>
      <c r="H304" s="1"/>
      <c r="I304" s="1"/>
      <c r="J304" s="1"/>
      <c r="K304" s="109" t="s">
        <v>78</v>
      </c>
      <c r="L304" s="316"/>
      <c r="M304" s="317"/>
      <c r="N304" s="317"/>
      <c r="O304" s="317"/>
      <c r="P304" s="317"/>
      <c r="Q304" s="317"/>
      <c r="R304" s="317"/>
      <c r="S304" s="317"/>
      <c r="T304" s="317"/>
      <c r="U304" s="317"/>
      <c r="V304" s="317"/>
      <c r="W304" s="317"/>
      <c r="X304" s="317"/>
      <c r="Y304" s="317"/>
      <c r="Z304" s="317"/>
      <c r="AA304" s="317"/>
      <c r="AB304" s="317"/>
      <c r="AC304" s="317"/>
      <c r="AD304" s="317"/>
      <c r="AE304" s="317"/>
      <c r="AF304" s="317"/>
      <c r="AG304" s="317"/>
      <c r="AH304" s="317"/>
      <c r="AI304" s="317"/>
      <c r="AJ304" s="317"/>
      <c r="AK304" s="317"/>
      <c r="AL304" s="317"/>
      <c r="AM304" s="318"/>
      <c r="AN304" s="1" t="s">
        <v>79</v>
      </c>
      <c r="AO304" s="14"/>
      <c r="AP304" s="1"/>
    </row>
    <row r="305" spans="2:42" x14ac:dyDescent="0.2">
      <c r="B305" s="11"/>
      <c r="C305" s="1"/>
      <c r="D305" s="1"/>
      <c r="E305" s="1"/>
      <c r="F305" s="1"/>
      <c r="G305" s="1"/>
      <c r="H305" s="1"/>
      <c r="I305" s="1"/>
      <c r="J305" s="1"/>
      <c r="U305" s="1"/>
      <c r="V305" s="1"/>
      <c r="W305" s="1"/>
      <c r="X305" s="1"/>
      <c r="Y305" s="1"/>
      <c r="Z305" s="1"/>
      <c r="AA305" s="1"/>
      <c r="AB305" s="1"/>
      <c r="AC305" s="1"/>
      <c r="AD305" s="1"/>
      <c r="AE305" s="1"/>
      <c r="AF305" s="1"/>
      <c r="AG305" s="1"/>
      <c r="AH305" s="1"/>
      <c r="AI305" s="1"/>
      <c r="AJ305" s="1"/>
      <c r="AK305" s="1"/>
      <c r="AL305" s="1"/>
      <c r="AM305" s="1"/>
      <c r="AN305" s="1"/>
      <c r="AO305" s="14"/>
      <c r="AP305" s="1"/>
    </row>
    <row r="306" spans="2:42" x14ac:dyDescent="0.2">
      <c r="B306" s="11"/>
      <c r="C306" s="1"/>
      <c r="D306" s="1"/>
      <c r="E306" s="1" t="s">
        <v>240</v>
      </c>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N306" s="1"/>
      <c r="AO306" s="14"/>
      <c r="AP306" s="1"/>
    </row>
    <row r="307" spans="2:42" ht="15" customHeight="1" x14ac:dyDescent="0.2">
      <c r="B307" s="11"/>
      <c r="C307" s="1"/>
      <c r="D307" s="1"/>
      <c r="E307" s="1"/>
      <c r="F307" s="1"/>
      <c r="G307" s="1" t="s">
        <v>241</v>
      </c>
      <c r="H307" s="1"/>
      <c r="I307" s="1"/>
      <c r="J307" s="1"/>
      <c r="K307" s="1"/>
      <c r="L307" s="1"/>
      <c r="M307" s="1"/>
      <c r="N307" s="1"/>
      <c r="O307" s="1" t="s">
        <v>242</v>
      </c>
      <c r="P307" s="1"/>
      <c r="Q307" s="1"/>
      <c r="R307" s="1"/>
      <c r="S307" s="1"/>
      <c r="W307" s="1"/>
      <c r="X307" s="1" t="s">
        <v>243</v>
      </c>
      <c r="Y307" s="1"/>
      <c r="AO307" s="14"/>
      <c r="AP307" s="1"/>
    </row>
    <row r="308" spans="2:42" ht="3" customHeight="1" x14ac:dyDescent="0.2">
      <c r="B308" s="1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09"/>
      <c r="AF308" s="84"/>
      <c r="AG308" s="84"/>
      <c r="AH308" s="84"/>
      <c r="AI308" s="84"/>
      <c r="AJ308" s="84"/>
      <c r="AK308" s="84"/>
      <c r="AL308" s="84"/>
      <c r="AM308" s="84"/>
      <c r="AN308" s="84"/>
      <c r="AO308" s="14"/>
      <c r="AP308" s="1"/>
    </row>
    <row r="309" spans="2:42" ht="15" customHeight="1" x14ac:dyDescent="0.2">
      <c r="B309" s="11"/>
      <c r="C309" s="1"/>
      <c r="D309" s="1"/>
      <c r="E309" s="1"/>
      <c r="F309" s="1"/>
      <c r="G309" s="1" t="s">
        <v>244</v>
      </c>
      <c r="H309" s="1"/>
      <c r="I309" s="1"/>
      <c r="J309" s="1"/>
      <c r="K309" s="109" t="s">
        <v>78</v>
      </c>
      <c r="L309" s="316"/>
      <c r="M309" s="317"/>
      <c r="N309" s="317"/>
      <c r="O309" s="317"/>
      <c r="P309" s="317"/>
      <c r="Q309" s="317"/>
      <c r="R309" s="317"/>
      <c r="S309" s="317"/>
      <c r="T309" s="317"/>
      <c r="U309" s="317"/>
      <c r="V309" s="317"/>
      <c r="W309" s="317"/>
      <c r="X309" s="317"/>
      <c r="Y309" s="317"/>
      <c r="Z309" s="317"/>
      <c r="AA309" s="317"/>
      <c r="AB309" s="317"/>
      <c r="AC309" s="317"/>
      <c r="AD309" s="317"/>
      <c r="AE309" s="317"/>
      <c r="AF309" s="317"/>
      <c r="AG309" s="317"/>
      <c r="AH309" s="317"/>
      <c r="AI309" s="317"/>
      <c r="AJ309" s="317"/>
      <c r="AK309" s="317"/>
      <c r="AL309" s="317"/>
      <c r="AM309" s="318"/>
      <c r="AN309" s="1" t="s">
        <v>79</v>
      </c>
      <c r="AO309" s="14"/>
      <c r="AP309" s="1"/>
    </row>
    <row r="310" spans="2:42" x14ac:dyDescent="0.2">
      <c r="B310" s="1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4"/>
      <c r="AP310" s="1"/>
    </row>
    <row r="311" spans="2:42" ht="15" customHeight="1" x14ac:dyDescent="0.2">
      <c r="B311" s="11"/>
      <c r="C311" s="1"/>
      <c r="D311" s="1"/>
      <c r="E311" s="1" t="s">
        <v>245</v>
      </c>
      <c r="G311" s="1" t="s">
        <v>246</v>
      </c>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4"/>
      <c r="AP311" s="1"/>
    </row>
    <row r="312" spans="2:42" x14ac:dyDescent="0.2">
      <c r="B312" s="1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4"/>
      <c r="AP312" s="1"/>
    </row>
    <row r="313" spans="2:42" ht="15" customHeight="1" x14ac:dyDescent="0.2">
      <c r="B313" s="11"/>
      <c r="C313" s="1"/>
      <c r="D313" s="1"/>
      <c r="E313" s="1" t="s">
        <v>247</v>
      </c>
      <c r="F313" s="1"/>
      <c r="G313" s="1" t="s">
        <v>248</v>
      </c>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4"/>
      <c r="AP313" s="1"/>
    </row>
    <row r="314" spans="2:42" x14ac:dyDescent="0.2">
      <c r="B314" s="1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4"/>
      <c r="AP314" s="1"/>
    </row>
    <row r="315" spans="2:42" ht="15" customHeight="1" x14ac:dyDescent="0.2">
      <c r="B315" s="11"/>
      <c r="C315" s="1"/>
      <c r="D315" s="1"/>
      <c r="E315" s="1" t="s">
        <v>249</v>
      </c>
      <c r="F315" s="1"/>
      <c r="G315" s="1" t="s">
        <v>250</v>
      </c>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4"/>
      <c r="AP315" s="1"/>
    </row>
    <row r="316" spans="2:42" ht="15" customHeight="1" x14ac:dyDescent="0.2">
      <c r="B316" s="11"/>
      <c r="C316" s="1"/>
      <c r="D316" s="1"/>
      <c r="E316" s="1"/>
      <c r="F316" s="93" t="s">
        <v>78</v>
      </c>
      <c r="G316" s="316"/>
      <c r="H316" s="317"/>
      <c r="I316" s="317"/>
      <c r="J316" s="317"/>
      <c r="K316" s="317"/>
      <c r="L316" s="317"/>
      <c r="M316" s="317"/>
      <c r="N316" s="317"/>
      <c r="O316" s="317"/>
      <c r="P316" s="317"/>
      <c r="Q316" s="317"/>
      <c r="R316" s="317"/>
      <c r="S316" s="317"/>
      <c r="T316" s="317"/>
      <c r="U316" s="317"/>
      <c r="V316" s="317"/>
      <c r="W316" s="317"/>
      <c r="X316" s="317"/>
      <c r="Y316" s="317"/>
      <c r="Z316" s="317"/>
      <c r="AA316" s="317"/>
      <c r="AB316" s="317"/>
      <c r="AC316" s="317"/>
      <c r="AD316" s="317"/>
      <c r="AE316" s="317"/>
      <c r="AF316" s="317"/>
      <c r="AG316" s="317"/>
      <c r="AH316" s="317"/>
      <c r="AI316" s="317"/>
      <c r="AJ316" s="317"/>
      <c r="AK316" s="317"/>
      <c r="AL316" s="317"/>
      <c r="AM316" s="318"/>
      <c r="AN316" s="93" t="s">
        <v>79</v>
      </c>
      <c r="AO316" s="14"/>
      <c r="AP316" s="1"/>
    </row>
    <row r="317" spans="2:42" ht="15" customHeight="1" x14ac:dyDescent="0.2">
      <c r="B317" s="11"/>
      <c r="C317" s="1"/>
      <c r="D317" s="1"/>
      <c r="E317" s="1"/>
      <c r="F317" s="93"/>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189"/>
      <c r="AN317" s="93"/>
      <c r="AO317" s="14"/>
      <c r="AP317" s="1"/>
    </row>
    <row r="318" spans="2:42" x14ac:dyDescent="0.2">
      <c r="B318" s="1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4"/>
      <c r="AP318" s="1"/>
    </row>
    <row r="319" spans="2:42" ht="12.5" x14ac:dyDescent="0.2">
      <c r="B319" s="11"/>
      <c r="C319" s="1"/>
      <c r="D319" s="134" t="s">
        <v>251</v>
      </c>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4"/>
      <c r="AP319" s="1"/>
    </row>
    <row r="320" spans="2:42" ht="6" customHeight="1" x14ac:dyDescent="0.2">
      <c r="B320" s="1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4"/>
      <c r="AP320" s="1"/>
    </row>
    <row r="321" spans="2:43" ht="15" customHeight="1" x14ac:dyDescent="0.2">
      <c r="B321" s="11"/>
      <c r="C321" s="1"/>
      <c r="D321" s="1"/>
      <c r="E321" s="1"/>
      <c r="F321" s="1"/>
      <c r="G321" s="1" t="s">
        <v>180</v>
      </c>
      <c r="H321" s="1"/>
      <c r="I321" s="1"/>
      <c r="J321" s="1"/>
      <c r="K321" s="1"/>
      <c r="L321" s="1"/>
      <c r="M321" s="1"/>
      <c r="N321" s="1"/>
      <c r="O321" s="1"/>
      <c r="P321" s="1"/>
      <c r="R321" s="1"/>
      <c r="S321" s="1" t="s">
        <v>181</v>
      </c>
      <c r="T321" s="1"/>
      <c r="U321" s="1"/>
      <c r="V321" s="1"/>
      <c r="W321" s="1"/>
      <c r="X321" s="1"/>
      <c r="AA321" s="1"/>
      <c r="AB321" s="1" t="s">
        <v>182</v>
      </c>
      <c r="AC321" s="1"/>
      <c r="AD321" s="1"/>
      <c r="AE321" s="1"/>
      <c r="AF321" s="1"/>
      <c r="AG321" s="1"/>
      <c r="AH321" s="1"/>
      <c r="AI321" s="1"/>
      <c r="AJ321" s="1"/>
      <c r="AK321" s="1"/>
      <c r="AL321" s="184"/>
      <c r="AM321" s="184"/>
      <c r="AN321" s="1"/>
      <c r="AO321" s="14"/>
      <c r="AP321" s="1"/>
    </row>
    <row r="322" spans="2:43" ht="3" customHeight="1" x14ac:dyDescent="0.2">
      <c r="B322" s="1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09"/>
      <c r="AF322" s="84"/>
      <c r="AG322" s="84"/>
      <c r="AH322" s="84"/>
      <c r="AI322" s="84"/>
      <c r="AJ322" s="84"/>
      <c r="AK322" s="84"/>
      <c r="AL322" s="84"/>
      <c r="AM322" s="84"/>
      <c r="AN322" s="84"/>
      <c r="AO322" s="14"/>
      <c r="AP322" s="1"/>
    </row>
    <row r="323" spans="2:43" ht="15" customHeight="1" x14ac:dyDescent="0.2">
      <c r="B323" s="11"/>
      <c r="C323" s="1"/>
      <c r="D323" s="1"/>
      <c r="E323" s="1"/>
      <c r="F323" s="1"/>
      <c r="G323" s="1" t="s">
        <v>252</v>
      </c>
      <c r="H323" s="1"/>
      <c r="I323" s="1"/>
      <c r="J323" s="1"/>
      <c r="K323" s="1"/>
      <c r="L323" s="1"/>
      <c r="M323" s="1"/>
      <c r="N323" s="1"/>
      <c r="O323" s="1"/>
      <c r="P323" s="1"/>
      <c r="Q323" s="1"/>
      <c r="R323" s="1"/>
      <c r="S323" s="1" t="s">
        <v>253</v>
      </c>
      <c r="T323" s="1"/>
      <c r="U323" s="1"/>
      <c r="V323" s="1"/>
      <c r="W323" s="1"/>
      <c r="X323" s="1"/>
      <c r="AA323" s="1"/>
      <c r="AB323" s="1"/>
      <c r="AC323" s="1"/>
      <c r="AD323" s="1"/>
      <c r="AE323" s="1"/>
      <c r="AF323" s="1"/>
      <c r="AG323" s="1"/>
      <c r="AH323" s="1"/>
      <c r="AI323" s="1"/>
      <c r="AJ323" s="1"/>
      <c r="AK323" s="1"/>
      <c r="AL323" s="184"/>
      <c r="AM323" s="184"/>
      <c r="AN323" s="1"/>
      <c r="AO323" s="14"/>
      <c r="AP323" s="1"/>
    </row>
    <row r="324" spans="2:43" x14ac:dyDescent="0.2">
      <c r="B324" s="1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84"/>
      <c r="AM324" s="184"/>
      <c r="AN324" s="1"/>
      <c r="AO324" s="14"/>
      <c r="AP324" s="1"/>
    </row>
    <row r="325" spans="2:43" x14ac:dyDescent="0.2">
      <c r="B325" s="1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84"/>
      <c r="AM325" s="184"/>
      <c r="AN325" s="1"/>
      <c r="AO325" s="14"/>
      <c r="AP325" s="1"/>
    </row>
    <row r="326" spans="2:43" ht="6" customHeight="1" x14ac:dyDescent="0.2">
      <c r="B326" s="145"/>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c r="AA326" s="146"/>
      <c r="AB326" s="146"/>
      <c r="AC326" s="146"/>
      <c r="AD326" s="146"/>
      <c r="AE326" s="146"/>
      <c r="AF326" s="146"/>
      <c r="AG326" s="146"/>
      <c r="AH326" s="146"/>
      <c r="AI326" s="146"/>
      <c r="AJ326" s="146"/>
      <c r="AK326" s="146"/>
      <c r="AL326" s="146"/>
      <c r="AM326" s="146"/>
      <c r="AN326" s="146"/>
      <c r="AO326" s="100"/>
      <c r="AP326" s="1"/>
    </row>
    <row r="327" spans="2:43" x14ac:dyDescent="0.2">
      <c r="B327" s="122"/>
      <c r="C327" s="122"/>
      <c r="D327" s="122" t="s">
        <v>51</v>
      </c>
      <c r="E327" s="122"/>
      <c r="F327" s="122"/>
      <c r="G327" s="122"/>
      <c r="H327" s="123"/>
      <c r="I327" s="123"/>
      <c r="J327" s="123"/>
      <c r="K327" s="123"/>
      <c r="L327" s="123"/>
      <c r="M327" s="123"/>
      <c r="N327" s="123"/>
      <c r="O327" s="123"/>
      <c r="P327" s="123"/>
      <c r="Q327" s="123"/>
      <c r="R327" s="123"/>
      <c r="S327" s="123"/>
      <c r="T327" s="123"/>
      <c r="U327" s="123"/>
      <c r="V327" s="123"/>
      <c r="W327" s="123"/>
      <c r="X327" s="123"/>
      <c r="Y327" s="123"/>
      <c r="Z327" s="123"/>
      <c r="AA327" s="123"/>
      <c r="AB327" s="123"/>
      <c r="AC327" s="123"/>
      <c r="AD327" s="123"/>
      <c r="AE327" s="123"/>
      <c r="AF327" s="123"/>
      <c r="AG327" s="123"/>
      <c r="AH327" s="123"/>
      <c r="AI327" s="123"/>
      <c r="AJ327" s="123"/>
      <c r="AK327" s="123"/>
      <c r="AL327" s="124"/>
      <c r="AM327" s="124"/>
      <c r="AN327" s="122"/>
      <c r="AO327" s="122"/>
      <c r="AP327" s="1"/>
    </row>
    <row r="328" spans="2:43" ht="6" customHeight="1" x14ac:dyDescent="0.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spans="2:43" ht="12" customHeight="1" x14ac:dyDescent="0.2">
      <c r="B329" s="231" t="str">
        <f>$B$1</f>
        <v>e-mail：kaitoku@jsps.go.jp</v>
      </c>
      <c r="C329" s="231"/>
      <c r="D329" s="231"/>
      <c r="E329" s="231"/>
      <c r="F329" s="231"/>
      <c r="G329" s="231"/>
      <c r="H329" s="231"/>
      <c r="I329" s="231"/>
      <c r="J329" s="231"/>
      <c r="K329" s="231"/>
      <c r="L329" s="231"/>
      <c r="M329" s="231"/>
      <c r="N329" s="231"/>
      <c r="O329" s="216"/>
      <c r="P329" s="216"/>
      <c r="Q329" s="216"/>
      <c r="R329" s="216"/>
      <c r="S329" s="1"/>
      <c r="T329" s="1"/>
      <c r="U329" s="1"/>
      <c r="V329" s="1"/>
      <c r="W329" s="1"/>
      <c r="X329" s="1"/>
      <c r="Y329" s="1"/>
      <c r="Z329" s="1"/>
      <c r="AA329" s="83"/>
      <c r="AB329" s="83"/>
      <c r="AC329" s="237" t="str">
        <f>$AC$1</f>
        <v>令和　　　7年　　　12月　　　12日</v>
      </c>
      <c r="AD329" s="237"/>
      <c r="AE329" s="237"/>
      <c r="AF329" s="237"/>
      <c r="AG329" s="237"/>
      <c r="AH329" s="237"/>
      <c r="AI329" s="237"/>
      <c r="AJ329" s="237"/>
      <c r="AK329" s="237"/>
      <c r="AL329" s="237"/>
      <c r="AM329" s="237"/>
      <c r="AN329" s="195"/>
      <c r="AO329" s="196" t="s">
        <v>1</v>
      </c>
      <c r="AP329" s="1"/>
    </row>
    <row r="330" spans="2:43" ht="12" customHeight="1" x14ac:dyDescent="0.2">
      <c r="B330" s="231" t="str">
        <f>$B$2</f>
        <v>日本学術振興会 海外特別研究員担当 宛</v>
      </c>
      <c r="C330" s="231"/>
      <c r="D330" s="231"/>
      <c r="E330" s="231"/>
      <c r="F330" s="231"/>
      <c r="G330" s="231"/>
      <c r="H330" s="231"/>
      <c r="I330" s="231"/>
      <c r="J330" s="231"/>
      <c r="K330" s="231"/>
      <c r="L330" s="231"/>
      <c r="M330" s="231"/>
      <c r="N330" s="231"/>
      <c r="O330" s="216"/>
      <c r="P330" s="216"/>
      <c r="Q330" s="216"/>
      <c r="R330" s="216"/>
      <c r="S330" s="1"/>
      <c r="T330" s="1"/>
      <c r="U330" s="1"/>
      <c r="V330" s="1"/>
      <c r="W330" s="1"/>
      <c r="X330" s="1"/>
      <c r="Y330" s="1"/>
      <c r="Z330" s="1"/>
      <c r="AA330" s="83"/>
      <c r="AB330" s="83"/>
      <c r="AC330" s="83"/>
      <c r="AD330" s="83"/>
      <c r="AE330" s="83"/>
      <c r="AF330" s="83"/>
      <c r="AG330" s="83"/>
      <c r="AH330" s="83"/>
      <c r="AI330" s="1"/>
      <c r="AJ330" s="1"/>
      <c r="AK330" s="1"/>
      <c r="AL330" s="1"/>
      <c r="AM330" s="1"/>
      <c r="AN330" s="1"/>
      <c r="AO330" s="82"/>
      <c r="AP330" s="1"/>
    </row>
    <row r="331" spans="2:43" ht="7" customHeight="1" x14ac:dyDescent="0.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spans="2:43" s="6" customFormat="1" ht="20.25" customHeight="1" x14ac:dyDescent="0.2">
      <c r="C332" s="190"/>
      <c r="D332" s="190"/>
      <c r="E332" s="190"/>
      <c r="F332" s="190"/>
      <c r="G332" s="235" t="str">
        <f>$G$4</f>
        <v>海外特別研究員の就職状況等について（調査票）</v>
      </c>
      <c r="H332" s="235"/>
      <c r="I332" s="235"/>
      <c r="J332" s="235"/>
      <c r="K332" s="235"/>
      <c r="L332" s="235"/>
      <c r="M332" s="235"/>
      <c r="N332" s="235"/>
      <c r="O332" s="235"/>
      <c r="P332" s="235"/>
      <c r="Q332" s="235"/>
      <c r="R332" s="235"/>
      <c r="S332" s="235"/>
      <c r="T332" s="235"/>
      <c r="U332" s="235"/>
      <c r="V332" s="235"/>
      <c r="W332" s="235"/>
      <c r="X332" s="235"/>
      <c r="Y332" s="235"/>
      <c r="Z332" s="235"/>
      <c r="AA332" s="235"/>
      <c r="AB332" s="235"/>
      <c r="AC332" s="235"/>
      <c r="AD332" s="236" t="s">
        <v>254</v>
      </c>
      <c r="AE332" s="236"/>
      <c r="AF332" s="191" t="str">
        <f>$AF$4</f>
        <v>＜様式3-3＞</v>
      </c>
      <c r="AG332" s="190"/>
      <c r="AH332" s="190"/>
      <c r="AI332" s="190"/>
      <c r="AJ332" s="190"/>
      <c r="AK332" s="190"/>
      <c r="AL332" s="190"/>
      <c r="AM332" s="190"/>
      <c r="AN332" s="190"/>
      <c r="AO332" s="190"/>
      <c r="AP332" s="143"/>
    </row>
    <row r="333" spans="2:43" ht="7" customHeight="1" x14ac:dyDescent="0.2">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c r="AD333" s="125"/>
      <c r="AE333" s="125"/>
      <c r="AF333" s="125"/>
      <c r="AG333" s="125"/>
      <c r="AH333" s="125"/>
      <c r="AI333" s="125"/>
      <c r="AJ333" s="125"/>
      <c r="AK333" s="125"/>
      <c r="AL333" s="125"/>
      <c r="AM333" s="125"/>
      <c r="AN333" s="125"/>
      <c r="AO333" s="125"/>
      <c r="AP333" s="84"/>
      <c r="AQ333" s="85"/>
    </row>
    <row r="334" spans="2:43" ht="12" customHeight="1" x14ac:dyDescent="0.2">
      <c r="B334" s="185"/>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c r="AA334" s="186"/>
      <c r="AB334" s="186"/>
      <c r="AC334" s="186"/>
      <c r="AD334" s="186"/>
      <c r="AE334" s="186"/>
      <c r="AF334" s="186"/>
      <c r="AG334" s="186"/>
      <c r="AH334" s="186"/>
      <c r="AI334" s="186"/>
      <c r="AJ334" s="186"/>
      <c r="AK334" s="186"/>
      <c r="AL334" s="186"/>
      <c r="AM334" s="186"/>
      <c r="AN334" s="186"/>
      <c r="AO334" s="187"/>
      <c r="AP334" s="84"/>
      <c r="AQ334" s="85"/>
    </row>
    <row r="335" spans="2:43" ht="12.5" x14ac:dyDescent="0.2">
      <c r="B335" s="11"/>
      <c r="C335" s="1"/>
      <c r="D335" s="134" t="s">
        <v>255</v>
      </c>
      <c r="E335" s="1"/>
      <c r="F335" s="1"/>
      <c r="G335" s="1"/>
      <c r="H335" s="319" t="s">
        <v>256</v>
      </c>
      <c r="I335" s="320"/>
      <c r="J335" s="320"/>
      <c r="K335" s="320"/>
      <c r="L335" s="320"/>
      <c r="M335" s="320"/>
      <c r="N335" s="320"/>
      <c r="O335" s="320"/>
      <c r="P335" s="320"/>
      <c r="Q335" s="320"/>
      <c r="R335" s="320"/>
      <c r="S335" s="320"/>
      <c r="T335" s="320"/>
      <c r="U335" s="320"/>
      <c r="V335" s="320"/>
      <c r="W335" s="320"/>
      <c r="X335" s="320"/>
      <c r="Y335" s="320"/>
      <c r="Z335" s="320"/>
      <c r="AA335" s="320"/>
      <c r="AB335" s="320"/>
      <c r="AC335" s="320"/>
      <c r="AD335" s="320"/>
      <c r="AE335" s="320"/>
      <c r="AF335" s="320"/>
      <c r="AG335" s="320"/>
      <c r="AH335" s="320"/>
      <c r="AI335" s="320"/>
      <c r="AJ335" s="320"/>
      <c r="AK335" s="320"/>
      <c r="AL335" s="320"/>
      <c r="AM335" s="320"/>
      <c r="AN335" s="320"/>
      <c r="AO335" s="217"/>
      <c r="AP335" s="1"/>
    </row>
    <row r="336" spans="2:43" x14ac:dyDescent="0.2">
      <c r="B336" s="11"/>
      <c r="C336" s="1"/>
      <c r="D336" s="1"/>
      <c r="E336" s="1"/>
      <c r="F336" s="1"/>
      <c r="G336" s="1"/>
      <c r="H336" s="320"/>
      <c r="I336" s="320"/>
      <c r="J336" s="320"/>
      <c r="K336" s="320"/>
      <c r="L336" s="320"/>
      <c r="M336" s="320"/>
      <c r="N336" s="320"/>
      <c r="O336" s="320"/>
      <c r="P336" s="320"/>
      <c r="Q336" s="320"/>
      <c r="R336" s="320"/>
      <c r="S336" s="320"/>
      <c r="T336" s="320"/>
      <c r="U336" s="320"/>
      <c r="V336" s="320"/>
      <c r="W336" s="320"/>
      <c r="X336" s="320"/>
      <c r="Y336" s="320"/>
      <c r="Z336" s="320"/>
      <c r="AA336" s="320"/>
      <c r="AB336" s="320"/>
      <c r="AC336" s="320"/>
      <c r="AD336" s="320"/>
      <c r="AE336" s="320"/>
      <c r="AF336" s="320"/>
      <c r="AG336" s="320"/>
      <c r="AH336" s="320"/>
      <c r="AI336" s="320"/>
      <c r="AJ336" s="320"/>
      <c r="AK336" s="320"/>
      <c r="AL336" s="320"/>
      <c r="AM336" s="320"/>
      <c r="AN336" s="320"/>
      <c r="AO336" s="217"/>
      <c r="AP336" s="1"/>
    </row>
    <row r="337" spans="2:42" x14ac:dyDescent="0.2">
      <c r="B337" s="11"/>
      <c r="C337" s="1"/>
      <c r="D337" s="1"/>
      <c r="E337" s="1"/>
      <c r="F337" s="1"/>
      <c r="G337" s="1"/>
      <c r="H337" s="320"/>
      <c r="I337" s="320"/>
      <c r="J337" s="320"/>
      <c r="K337" s="320"/>
      <c r="L337" s="320"/>
      <c r="M337" s="320"/>
      <c r="N337" s="320"/>
      <c r="O337" s="320"/>
      <c r="P337" s="320"/>
      <c r="Q337" s="320"/>
      <c r="R337" s="320"/>
      <c r="S337" s="320"/>
      <c r="T337" s="320"/>
      <c r="U337" s="320"/>
      <c r="V337" s="320"/>
      <c r="W337" s="320"/>
      <c r="X337" s="320"/>
      <c r="Y337" s="320"/>
      <c r="Z337" s="320"/>
      <c r="AA337" s="320"/>
      <c r="AB337" s="320"/>
      <c r="AC337" s="320"/>
      <c r="AD337" s="320"/>
      <c r="AE337" s="320"/>
      <c r="AF337" s="320"/>
      <c r="AG337" s="320"/>
      <c r="AH337" s="320"/>
      <c r="AI337" s="320"/>
      <c r="AJ337" s="320"/>
      <c r="AK337" s="320"/>
      <c r="AL337" s="320"/>
      <c r="AM337" s="320"/>
      <c r="AN337" s="320"/>
      <c r="AO337" s="217"/>
      <c r="AP337" s="1"/>
    </row>
    <row r="338" spans="2:42" x14ac:dyDescent="0.2">
      <c r="B338" s="11"/>
      <c r="C338" s="1"/>
      <c r="D338" s="1"/>
      <c r="E338" s="1"/>
      <c r="F338" s="1"/>
      <c r="G338" s="1"/>
      <c r="H338" s="320"/>
      <c r="I338" s="320"/>
      <c r="J338" s="320"/>
      <c r="K338" s="320"/>
      <c r="L338" s="320"/>
      <c r="M338" s="320"/>
      <c r="N338" s="320"/>
      <c r="O338" s="320"/>
      <c r="P338" s="320"/>
      <c r="Q338" s="320"/>
      <c r="R338" s="320"/>
      <c r="S338" s="320"/>
      <c r="T338" s="320"/>
      <c r="U338" s="320"/>
      <c r="V338" s="320"/>
      <c r="W338" s="320"/>
      <c r="X338" s="320"/>
      <c r="Y338" s="320"/>
      <c r="Z338" s="320"/>
      <c r="AA338" s="320"/>
      <c r="AB338" s="320"/>
      <c r="AC338" s="320"/>
      <c r="AD338" s="320"/>
      <c r="AE338" s="320"/>
      <c r="AF338" s="320"/>
      <c r="AG338" s="320"/>
      <c r="AH338" s="320"/>
      <c r="AI338" s="320"/>
      <c r="AJ338" s="320"/>
      <c r="AK338" s="320"/>
      <c r="AL338" s="320"/>
      <c r="AM338" s="320"/>
      <c r="AN338" s="320"/>
      <c r="AO338" s="217"/>
      <c r="AP338" s="1"/>
    </row>
    <row r="339" spans="2:42" ht="5.15" customHeight="1" x14ac:dyDescent="0.2">
      <c r="B339" s="1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84"/>
      <c r="AM339" s="184"/>
      <c r="AN339" s="1"/>
      <c r="AO339" s="14"/>
      <c r="AP339" s="1"/>
    </row>
    <row r="340" spans="2:42" x14ac:dyDescent="0.2">
      <c r="B340" s="11"/>
      <c r="C340" s="1"/>
      <c r="D340" s="1"/>
      <c r="E340" s="1"/>
      <c r="F340" s="1"/>
      <c r="G340" s="304"/>
      <c r="H340" s="305"/>
      <c r="I340" s="305"/>
      <c r="J340" s="305"/>
      <c r="K340" s="305"/>
      <c r="L340" s="305"/>
      <c r="M340" s="305"/>
      <c r="N340" s="305"/>
      <c r="O340" s="305"/>
      <c r="P340" s="305"/>
      <c r="Q340" s="305"/>
      <c r="R340" s="305"/>
      <c r="S340" s="305"/>
      <c r="T340" s="305"/>
      <c r="U340" s="305"/>
      <c r="V340" s="305"/>
      <c r="W340" s="305"/>
      <c r="X340" s="305"/>
      <c r="Y340" s="305"/>
      <c r="Z340" s="305"/>
      <c r="AA340" s="305"/>
      <c r="AB340" s="305"/>
      <c r="AC340" s="305"/>
      <c r="AD340" s="305"/>
      <c r="AE340" s="305"/>
      <c r="AF340" s="305"/>
      <c r="AG340" s="305"/>
      <c r="AH340" s="305"/>
      <c r="AI340" s="305"/>
      <c r="AJ340" s="305"/>
      <c r="AK340" s="305"/>
      <c r="AL340" s="305"/>
      <c r="AM340" s="306"/>
      <c r="AN340" s="1"/>
      <c r="AO340" s="14"/>
      <c r="AP340" s="1"/>
    </row>
    <row r="341" spans="2:42" x14ac:dyDescent="0.2">
      <c r="B341" s="11"/>
      <c r="C341" s="1"/>
      <c r="D341" s="1"/>
      <c r="E341" s="1"/>
      <c r="F341" s="1"/>
      <c r="G341" s="307"/>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c r="AH341" s="308"/>
      <c r="AI341" s="308"/>
      <c r="AJ341" s="308"/>
      <c r="AK341" s="308"/>
      <c r="AL341" s="308"/>
      <c r="AM341" s="309"/>
      <c r="AN341" s="1"/>
      <c r="AO341" s="14"/>
      <c r="AP341" s="1"/>
    </row>
    <row r="342" spans="2:42" x14ac:dyDescent="0.2">
      <c r="B342" s="11"/>
      <c r="C342" s="1"/>
      <c r="D342" s="1"/>
      <c r="E342" s="1"/>
      <c r="F342" s="1"/>
      <c r="G342" s="307"/>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9"/>
      <c r="AN342" s="1"/>
      <c r="AO342" s="14"/>
      <c r="AP342" s="1"/>
    </row>
    <row r="343" spans="2:42" x14ac:dyDescent="0.2">
      <c r="B343" s="11"/>
      <c r="C343" s="1"/>
      <c r="D343" s="1"/>
      <c r="E343" s="1"/>
      <c r="F343" s="1"/>
      <c r="G343" s="307"/>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c r="AH343" s="308"/>
      <c r="AI343" s="308"/>
      <c r="AJ343" s="308"/>
      <c r="AK343" s="308"/>
      <c r="AL343" s="308"/>
      <c r="AM343" s="309"/>
      <c r="AN343" s="1"/>
      <c r="AO343" s="14"/>
      <c r="AP343" s="1"/>
    </row>
    <row r="344" spans="2:42" x14ac:dyDescent="0.2">
      <c r="B344" s="11"/>
      <c r="C344" s="1"/>
      <c r="D344" s="1"/>
      <c r="E344" s="1"/>
      <c r="F344" s="1"/>
      <c r="G344" s="307"/>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c r="AH344" s="308"/>
      <c r="AI344" s="308"/>
      <c r="AJ344" s="308"/>
      <c r="AK344" s="308"/>
      <c r="AL344" s="308"/>
      <c r="AM344" s="309"/>
      <c r="AN344" s="1"/>
      <c r="AO344" s="14"/>
      <c r="AP344" s="1"/>
    </row>
    <row r="345" spans="2:42" x14ac:dyDescent="0.2">
      <c r="B345" s="11"/>
      <c r="C345" s="1"/>
      <c r="D345" s="1"/>
      <c r="E345" s="1"/>
      <c r="F345" s="1"/>
      <c r="G345" s="307"/>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c r="AH345" s="308"/>
      <c r="AI345" s="308"/>
      <c r="AJ345" s="308"/>
      <c r="AK345" s="308"/>
      <c r="AL345" s="308"/>
      <c r="AM345" s="309"/>
      <c r="AN345" s="1"/>
      <c r="AO345" s="14"/>
      <c r="AP345" s="1"/>
    </row>
    <row r="346" spans="2:42" x14ac:dyDescent="0.2">
      <c r="B346" s="11"/>
      <c r="C346" s="1"/>
      <c r="D346" s="1"/>
      <c r="E346" s="1"/>
      <c r="F346" s="1"/>
      <c r="G346" s="321"/>
      <c r="H346" s="322"/>
      <c r="I346" s="322"/>
      <c r="J346" s="322"/>
      <c r="K346" s="322"/>
      <c r="L346" s="322"/>
      <c r="M346" s="322"/>
      <c r="N346" s="322"/>
      <c r="O346" s="322"/>
      <c r="P346" s="322"/>
      <c r="Q346" s="322"/>
      <c r="R346" s="322"/>
      <c r="S346" s="322"/>
      <c r="T346" s="322"/>
      <c r="U346" s="322"/>
      <c r="V346" s="322"/>
      <c r="W346" s="322"/>
      <c r="X346" s="322"/>
      <c r="Y346" s="322"/>
      <c r="Z346" s="322"/>
      <c r="AA346" s="322"/>
      <c r="AB346" s="322"/>
      <c r="AC346" s="322"/>
      <c r="AD346" s="322"/>
      <c r="AE346" s="322"/>
      <c r="AF346" s="322"/>
      <c r="AG346" s="322"/>
      <c r="AH346" s="322"/>
      <c r="AI346" s="322"/>
      <c r="AJ346" s="322"/>
      <c r="AK346" s="322"/>
      <c r="AL346" s="322"/>
      <c r="AM346" s="323"/>
      <c r="AN346" s="1"/>
      <c r="AO346" s="14"/>
      <c r="AP346" s="1"/>
    </row>
    <row r="347" spans="2:42" x14ac:dyDescent="0.2">
      <c r="B347" s="11"/>
      <c r="C347" s="1"/>
      <c r="D347" s="1"/>
      <c r="E347" s="1"/>
      <c r="F347" s="1"/>
      <c r="G347" s="188"/>
      <c r="H347" s="188"/>
      <c r="I347" s="188"/>
      <c r="J347" s="188"/>
      <c r="K347" s="188"/>
      <c r="L347" s="188"/>
      <c r="M347" s="188"/>
      <c r="N347" s="188"/>
      <c r="O347" s="188"/>
      <c r="P347" s="188"/>
      <c r="Q347" s="188"/>
      <c r="R347" s="188"/>
      <c r="S347" s="188"/>
      <c r="T347" s="188"/>
      <c r="U347" s="188"/>
      <c r="V347" s="188"/>
      <c r="W347" s="188"/>
      <c r="X347" s="188"/>
      <c r="Y347" s="188"/>
      <c r="Z347" s="188"/>
      <c r="AA347" s="188"/>
      <c r="AB347" s="188"/>
      <c r="AC347" s="188"/>
      <c r="AD347" s="188"/>
      <c r="AE347" s="188"/>
      <c r="AF347" s="188"/>
      <c r="AG347" s="188"/>
      <c r="AH347" s="188"/>
      <c r="AI347" s="188"/>
      <c r="AJ347" s="188"/>
      <c r="AK347" s="188"/>
      <c r="AL347" s="188"/>
      <c r="AM347" s="188"/>
      <c r="AN347" s="1"/>
      <c r="AO347" s="14"/>
      <c r="AP347" s="1"/>
    </row>
    <row r="348" spans="2:42" x14ac:dyDescent="0.2">
      <c r="B348" s="11"/>
      <c r="C348" s="1"/>
      <c r="D348" s="1"/>
      <c r="E348" s="1"/>
      <c r="F348" s="1"/>
      <c r="G348" s="188"/>
      <c r="H348" s="188"/>
      <c r="I348" s="188"/>
      <c r="J348" s="188"/>
      <c r="K348" s="188"/>
      <c r="L348" s="188"/>
      <c r="M348" s="188"/>
      <c r="N348" s="188"/>
      <c r="O348" s="188"/>
      <c r="P348" s="188"/>
      <c r="Q348" s="188"/>
      <c r="R348" s="188"/>
      <c r="S348" s="188"/>
      <c r="T348" s="188"/>
      <c r="U348" s="188"/>
      <c r="V348" s="188"/>
      <c r="W348" s="188"/>
      <c r="X348" s="188"/>
      <c r="Y348" s="188"/>
      <c r="Z348" s="188"/>
      <c r="AA348" s="188"/>
      <c r="AB348" s="188"/>
      <c r="AC348" s="188"/>
      <c r="AD348" s="188"/>
      <c r="AE348" s="188"/>
      <c r="AF348" s="188"/>
      <c r="AG348" s="188"/>
      <c r="AH348" s="188"/>
      <c r="AI348" s="188"/>
      <c r="AJ348" s="188"/>
      <c r="AK348" s="188"/>
      <c r="AL348" s="188"/>
      <c r="AM348" s="188"/>
      <c r="AN348" s="1"/>
      <c r="AO348" s="14"/>
      <c r="AP348" s="1"/>
    </row>
    <row r="349" spans="2:42" ht="12.5" x14ac:dyDescent="0.2">
      <c r="B349" s="11"/>
      <c r="C349" s="1"/>
      <c r="D349" s="134" t="s">
        <v>257</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4"/>
      <c r="AP349" s="1"/>
    </row>
    <row r="350" spans="2:42" ht="5.15" customHeight="1" x14ac:dyDescent="0.2">
      <c r="B350" s="1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4"/>
      <c r="AP350" s="1"/>
    </row>
    <row r="351" spans="2:42" ht="22" customHeight="1" x14ac:dyDescent="0.2">
      <c r="B351" s="11"/>
      <c r="C351" s="1"/>
      <c r="D351" s="1"/>
      <c r="E351" s="1"/>
      <c r="F351" s="1"/>
      <c r="G351" s="304"/>
      <c r="H351" s="305"/>
      <c r="I351" s="305"/>
      <c r="J351" s="305"/>
      <c r="K351" s="305"/>
      <c r="L351" s="305"/>
      <c r="M351" s="305"/>
      <c r="N351" s="305"/>
      <c r="O351" s="305"/>
      <c r="P351" s="305"/>
      <c r="Q351" s="305"/>
      <c r="R351" s="305"/>
      <c r="S351" s="305"/>
      <c r="T351" s="305"/>
      <c r="U351" s="305"/>
      <c r="V351" s="305"/>
      <c r="W351" s="305"/>
      <c r="X351" s="305"/>
      <c r="Y351" s="305"/>
      <c r="Z351" s="305"/>
      <c r="AA351" s="305"/>
      <c r="AB351" s="305"/>
      <c r="AC351" s="305"/>
      <c r="AD351" s="305"/>
      <c r="AE351" s="305"/>
      <c r="AF351" s="305"/>
      <c r="AG351" s="305"/>
      <c r="AH351" s="305"/>
      <c r="AI351" s="305"/>
      <c r="AJ351" s="305"/>
      <c r="AK351" s="305"/>
      <c r="AL351" s="305"/>
      <c r="AM351" s="306"/>
      <c r="AN351" s="1"/>
      <c r="AO351" s="14"/>
      <c r="AP351" s="1"/>
    </row>
    <row r="352" spans="2:42" ht="22" customHeight="1" x14ac:dyDescent="0.2">
      <c r="B352" s="11"/>
      <c r="C352" s="1"/>
      <c r="D352" s="1"/>
      <c r="E352" s="1"/>
      <c r="F352" s="1"/>
      <c r="G352" s="307"/>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c r="AH352" s="308"/>
      <c r="AI352" s="308"/>
      <c r="AJ352" s="308"/>
      <c r="AK352" s="308"/>
      <c r="AL352" s="308"/>
      <c r="AM352" s="309"/>
      <c r="AN352" s="1"/>
      <c r="AO352" s="14"/>
      <c r="AP352" s="1"/>
    </row>
    <row r="353" spans="2:42" ht="22" customHeight="1" x14ac:dyDescent="0.2">
      <c r="B353" s="11"/>
      <c r="C353" s="1"/>
      <c r="D353" s="1"/>
      <c r="E353" s="1"/>
      <c r="F353" s="1"/>
      <c r="G353" s="307"/>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c r="AH353" s="308"/>
      <c r="AI353" s="308"/>
      <c r="AJ353" s="308"/>
      <c r="AK353" s="308"/>
      <c r="AL353" s="308"/>
      <c r="AM353" s="309"/>
      <c r="AN353" s="1"/>
      <c r="AO353" s="14"/>
      <c r="AP353" s="1"/>
    </row>
    <row r="354" spans="2:42" ht="22" customHeight="1" x14ac:dyDescent="0.2">
      <c r="B354" s="11"/>
      <c r="C354" s="1"/>
      <c r="D354" s="1"/>
      <c r="E354" s="1"/>
      <c r="F354" s="1"/>
      <c r="G354" s="307"/>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c r="AH354" s="308"/>
      <c r="AI354" s="308"/>
      <c r="AJ354" s="308"/>
      <c r="AK354" s="308"/>
      <c r="AL354" s="308"/>
      <c r="AM354" s="309"/>
      <c r="AN354" s="1"/>
      <c r="AO354" s="14"/>
      <c r="AP354" s="1"/>
    </row>
    <row r="355" spans="2:42" ht="22" customHeight="1" x14ac:dyDescent="0.2">
      <c r="B355" s="11"/>
      <c r="C355" s="1"/>
      <c r="D355" s="1"/>
      <c r="E355" s="1"/>
      <c r="F355" s="1"/>
      <c r="G355" s="310"/>
      <c r="H355" s="311"/>
      <c r="I355" s="311"/>
      <c r="J355" s="311"/>
      <c r="K355" s="311"/>
      <c r="L355" s="311"/>
      <c r="M355" s="311"/>
      <c r="N355" s="311"/>
      <c r="O355" s="311"/>
      <c r="P355" s="311"/>
      <c r="Q355" s="311"/>
      <c r="R355" s="311"/>
      <c r="S355" s="311"/>
      <c r="T355" s="311"/>
      <c r="U355" s="311"/>
      <c r="V355" s="311"/>
      <c r="W355" s="311"/>
      <c r="X355" s="311"/>
      <c r="Y355" s="311"/>
      <c r="Z355" s="311"/>
      <c r="AA355" s="311"/>
      <c r="AB355" s="311"/>
      <c r="AC355" s="311"/>
      <c r="AD355" s="311"/>
      <c r="AE355" s="311"/>
      <c r="AF355" s="311"/>
      <c r="AG355" s="311"/>
      <c r="AH355" s="311"/>
      <c r="AI355" s="311"/>
      <c r="AJ355" s="311"/>
      <c r="AK355" s="311"/>
      <c r="AL355" s="311"/>
      <c r="AM355" s="312"/>
      <c r="AN355" s="1"/>
      <c r="AO355" s="14"/>
      <c r="AP355" s="1"/>
    </row>
    <row r="356" spans="2:42" ht="22" customHeight="1" x14ac:dyDescent="0.2">
      <c r="B356" s="11"/>
      <c r="C356" s="1"/>
      <c r="D356" s="1"/>
      <c r="E356" s="1"/>
      <c r="F356" s="1"/>
      <c r="G356" s="310"/>
      <c r="H356" s="311"/>
      <c r="I356" s="311"/>
      <c r="J356" s="311"/>
      <c r="K356" s="311"/>
      <c r="L356" s="311"/>
      <c r="M356" s="311"/>
      <c r="N356" s="311"/>
      <c r="O356" s="311"/>
      <c r="P356" s="311"/>
      <c r="Q356" s="311"/>
      <c r="R356" s="311"/>
      <c r="S356" s="311"/>
      <c r="T356" s="311"/>
      <c r="U356" s="311"/>
      <c r="V356" s="311"/>
      <c r="W356" s="311"/>
      <c r="X356" s="311"/>
      <c r="Y356" s="311"/>
      <c r="Z356" s="311"/>
      <c r="AA356" s="311"/>
      <c r="AB356" s="311"/>
      <c r="AC356" s="311"/>
      <c r="AD356" s="311"/>
      <c r="AE356" s="311"/>
      <c r="AF356" s="311"/>
      <c r="AG356" s="311"/>
      <c r="AH356" s="311"/>
      <c r="AI356" s="311"/>
      <c r="AJ356" s="311"/>
      <c r="AK356" s="311"/>
      <c r="AL356" s="311"/>
      <c r="AM356" s="312"/>
      <c r="AN356" s="1"/>
      <c r="AO356" s="14"/>
      <c r="AP356" s="1"/>
    </row>
    <row r="357" spans="2:42" ht="22" customHeight="1" x14ac:dyDescent="0.2">
      <c r="B357" s="11"/>
      <c r="C357" s="1"/>
      <c r="D357" s="1"/>
      <c r="E357" s="1"/>
      <c r="F357" s="1"/>
      <c r="G357" s="310"/>
      <c r="H357" s="311"/>
      <c r="I357" s="311"/>
      <c r="J357" s="311"/>
      <c r="K357" s="311"/>
      <c r="L357" s="311"/>
      <c r="M357" s="311"/>
      <c r="N357" s="311"/>
      <c r="O357" s="311"/>
      <c r="P357" s="311"/>
      <c r="Q357" s="311"/>
      <c r="R357" s="311"/>
      <c r="S357" s="311"/>
      <c r="T357" s="311"/>
      <c r="U357" s="311"/>
      <c r="V357" s="311"/>
      <c r="W357" s="311"/>
      <c r="X357" s="311"/>
      <c r="Y357" s="311"/>
      <c r="Z357" s="311"/>
      <c r="AA357" s="311"/>
      <c r="AB357" s="311"/>
      <c r="AC357" s="311"/>
      <c r="AD357" s="311"/>
      <c r="AE357" s="311"/>
      <c r="AF357" s="311"/>
      <c r="AG357" s="311"/>
      <c r="AH357" s="311"/>
      <c r="AI357" s="311"/>
      <c r="AJ357" s="311"/>
      <c r="AK357" s="311"/>
      <c r="AL357" s="311"/>
      <c r="AM357" s="312"/>
      <c r="AN357" s="1"/>
      <c r="AO357" s="14"/>
      <c r="AP357" s="1"/>
    </row>
    <row r="358" spans="2:42" ht="22" customHeight="1" x14ac:dyDescent="0.2">
      <c r="B358" s="11"/>
      <c r="C358" s="1"/>
      <c r="D358" s="1"/>
      <c r="E358" s="1"/>
      <c r="F358" s="1"/>
      <c r="G358" s="310"/>
      <c r="H358" s="311"/>
      <c r="I358" s="311"/>
      <c r="J358" s="311"/>
      <c r="K358" s="311"/>
      <c r="L358" s="311"/>
      <c r="M358" s="311"/>
      <c r="N358" s="311"/>
      <c r="O358" s="311"/>
      <c r="P358" s="311"/>
      <c r="Q358" s="311"/>
      <c r="R358" s="311"/>
      <c r="S358" s="311"/>
      <c r="T358" s="311"/>
      <c r="U358" s="311"/>
      <c r="V358" s="311"/>
      <c r="W358" s="311"/>
      <c r="X358" s="311"/>
      <c r="Y358" s="311"/>
      <c r="Z358" s="311"/>
      <c r="AA358" s="311"/>
      <c r="AB358" s="311"/>
      <c r="AC358" s="311"/>
      <c r="AD358" s="311"/>
      <c r="AE358" s="311"/>
      <c r="AF358" s="311"/>
      <c r="AG358" s="311"/>
      <c r="AH358" s="311"/>
      <c r="AI358" s="311"/>
      <c r="AJ358" s="311"/>
      <c r="AK358" s="311"/>
      <c r="AL358" s="311"/>
      <c r="AM358" s="312"/>
      <c r="AN358" s="1"/>
      <c r="AO358" s="14"/>
      <c r="AP358" s="1"/>
    </row>
    <row r="359" spans="2:42" ht="22" customHeight="1" x14ac:dyDescent="0.2">
      <c r="B359" s="11"/>
      <c r="C359" s="1"/>
      <c r="D359" s="1"/>
      <c r="E359" s="1"/>
      <c r="F359" s="1"/>
      <c r="G359" s="310"/>
      <c r="H359" s="311"/>
      <c r="I359" s="311"/>
      <c r="J359" s="311"/>
      <c r="K359" s="311"/>
      <c r="L359" s="311"/>
      <c r="M359" s="311"/>
      <c r="N359" s="311"/>
      <c r="O359" s="311"/>
      <c r="P359" s="311"/>
      <c r="Q359" s="311"/>
      <c r="R359" s="311"/>
      <c r="S359" s="311"/>
      <c r="T359" s="311"/>
      <c r="U359" s="311"/>
      <c r="V359" s="311"/>
      <c r="W359" s="311"/>
      <c r="X359" s="311"/>
      <c r="Y359" s="311"/>
      <c r="Z359" s="311"/>
      <c r="AA359" s="311"/>
      <c r="AB359" s="311"/>
      <c r="AC359" s="311"/>
      <c r="AD359" s="311"/>
      <c r="AE359" s="311"/>
      <c r="AF359" s="311"/>
      <c r="AG359" s="311"/>
      <c r="AH359" s="311"/>
      <c r="AI359" s="311"/>
      <c r="AJ359" s="311"/>
      <c r="AK359" s="311"/>
      <c r="AL359" s="311"/>
      <c r="AM359" s="312"/>
      <c r="AN359" s="1"/>
      <c r="AO359" s="14"/>
      <c r="AP359" s="1"/>
    </row>
    <row r="360" spans="2:42" ht="22" customHeight="1" x14ac:dyDescent="0.2">
      <c r="B360" s="11"/>
      <c r="C360" s="1"/>
      <c r="D360" s="1"/>
      <c r="E360" s="1"/>
      <c r="F360" s="1"/>
      <c r="G360" s="310"/>
      <c r="H360" s="311"/>
      <c r="I360" s="311"/>
      <c r="J360" s="311"/>
      <c r="K360" s="311"/>
      <c r="L360" s="311"/>
      <c r="M360" s="311"/>
      <c r="N360" s="311"/>
      <c r="O360" s="311"/>
      <c r="P360" s="311"/>
      <c r="Q360" s="311"/>
      <c r="R360" s="311"/>
      <c r="S360" s="311"/>
      <c r="T360" s="311"/>
      <c r="U360" s="311"/>
      <c r="V360" s="311"/>
      <c r="W360" s="311"/>
      <c r="X360" s="311"/>
      <c r="Y360" s="311"/>
      <c r="Z360" s="311"/>
      <c r="AA360" s="311"/>
      <c r="AB360" s="311"/>
      <c r="AC360" s="311"/>
      <c r="AD360" s="311"/>
      <c r="AE360" s="311"/>
      <c r="AF360" s="311"/>
      <c r="AG360" s="311"/>
      <c r="AH360" s="311"/>
      <c r="AI360" s="311"/>
      <c r="AJ360" s="311"/>
      <c r="AK360" s="311"/>
      <c r="AL360" s="311"/>
      <c r="AM360" s="312"/>
      <c r="AN360" s="1"/>
      <c r="AO360" s="14"/>
      <c r="AP360" s="1"/>
    </row>
    <row r="361" spans="2:42" ht="22" customHeight="1" x14ac:dyDescent="0.2">
      <c r="B361" s="11"/>
      <c r="C361" s="1"/>
      <c r="D361" s="1"/>
      <c r="E361" s="1"/>
      <c r="F361" s="1"/>
      <c r="G361" s="310"/>
      <c r="H361" s="311"/>
      <c r="I361" s="311"/>
      <c r="J361" s="311"/>
      <c r="K361" s="311"/>
      <c r="L361" s="311"/>
      <c r="M361" s="311"/>
      <c r="N361" s="311"/>
      <c r="O361" s="311"/>
      <c r="P361" s="311"/>
      <c r="Q361" s="311"/>
      <c r="R361" s="311"/>
      <c r="S361" s="311"/>
      <c r="T361" s="311"/>
      <c r="U361" s="311"/>
      <c r="V361" s="311"/>
      <c r="W361" s="311"/>
      <c r="X361" s="311"/>
      <c r="Y361" s="311"/>
      <c r="Z361" s="311"/>
      <c r="AA361" s="311"/>
      <c r="AB361" s="311"/>
      <c r="AC361" s="311"/>
      <c r="AD361" s="311"/>
      <c r="AE361" s="311"/>
      <c r="AF361" s="311"/>
      <c r="AG361" s="311"/>
      <c r="AH361" s="311"/>
      <c r="AI361" s="311"/>
      <c r="AJ361" s="311"/>
      <c r="AK361" s="311"/>
      <c r="AL361" s="311"/>
      <c r="AM361" s="312"/>
      <c r="AN361" s="1"/>
      <c r="AO361" s="14"/>
      <c r="AP361" s="1"/>
    </row>
    <row r="362" spans="2:42" ht="22" customHeight="1" x14ac:dyDescent="0.2">
      <c r="B362" s="11"/>
      <c r="C362" s="1"/>
      <c r="D362" s="1"/>
      <c r="E362" s="1"/>
      <c r="F362" s="1"/>
      <c r="G362" s="313"/>
      <c r="H362" s="314"/>
      <c r="I362" s="314"/>
      <c r="J362" s="314"/>
      <c r="K362" s="314"/>
      <c r="L362" s="314"/>
      <c r="M362" s="314"/>
      <c r="N362" s="314"/>
      <c r="O362" s="314"/>
      <c r="P362" s="314"/>
      <c r="Q362" s="314"/>
      <c r="R362" s="314"/>
      <c r="S362" s="314"/>
      <c r="T362" s="314"/>
      <c r="U362" s="314"/>
      <c r="V362" s="314"/>
      <c r="W362" s="314"/>
      <c r="X362" s="314"/>
      <c r="Y362" s="314"/>
      <c r="Z362" s="314"/>
      <c r="AA362" s="314"/>
      <c r="AB362" s="314"/>
      <c r="AC362" s="314"/>
      <c r="AD362" s="314"/>
      <c r="AE362" s="314"/>
      <c r="AF362" s="314"/>
      <c r="AG362" s="314"/>
      <c r="AH362" s="314"/>
      <c r="AI362" s="314"/>
      <c r="AJ362" s="314"/>
      <c r="AK362" s="314"/>
      <c r="AL362" s="314"/>
      <c r="AM362" s="315"/>
      <c r="AN362" s="1"/>
      <c r="AO362" s="14"/>
      <c r="AP362" s="1"/>
    </row>
    <row r="363" spans="2:42" x14ac:dyDescent="0.2">
      <c r="B363" s="1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4"/>
      <c r="AP363" s="1"/>
    </row>
    <row r="364" spans="2:42" x14ac:dyDescent="0.2">
      <c r="B364" s="145"/>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c r="AA364" s="146"/>
      <c r="AB364" s="146"/>
      <c r="AC364" s="146"/>
      <c r="AD364" s="146"/>
      <c r="AE364" s="146"/>
      <c r="AF364" s="146"/>
      <c r="AG364" s="146"/>
      <c r="AH364" s="146"/>
      <c r="AI364" s="146"/>
      <c r="AJ364" s="146"/>
      <c r="AK364" s="146"/>
      <c r="AL364" s="146"/>
      <c r="AM364" s="146"/>
      <c r="AN364" s="146"/>
      <c r="AO364" s="100"/>
      <c r="AP364" s="1"/>
    </row>
    <row r="365" spans="2:42" x14ac:dyDescent="0.2">
      <c r="B365" s="1" t="s">
        <v>258</v>
      </c>
      <c r="C365" s="1"/>
    </row>
    <row r="366" spans="2:42" x14ac:dyDescent="0.2">
      <c r="B366" s="1" t="s">
        <v>259</v>
      </c>
      <c r="C366" s="1"/>
    </row>
  </sheetData>
  <sheetProtection formatCells="0" selectLockedCells="1" autoFilter="0"/>
  <mergeCells count="114">
    <mergeCell ref="AC56:AM56"/>
    <mergeCell ref="AC123:AM123"/>
    <mergeCell ref="AC200:AM200"/>
    <mergeCell ref="AC259:AM259"/>
    <mergeCell ref="AC329:AM329"/>
    <mergeCell ref="G332:AC332"/>
    <mergeCell ref="AD332:AE332"/>
    <mergeCell ref="G203:AC203"/>
    <mergeCell ref="AD203:AE203"/>
    <mergeCell ref="G262:AC262"/>
    <mergeCell ref="AD262:AE262"/>
    <mergeCell ref="B260:R260"/>
    <mergeCell ref="B330:R330"/>
    <mergeCell ref="L119:AM119"/>
    <mergeCell ref="B124:R124"/>
    <mergeCell ref="E151:I151"/>
    <mergeCell ref="E159:I159"/>
    <mergeCell ref="E170:I170"/>
    <mergeCell ref="AB132:AD132"/>
    <mergeCell ref="AB134:AD134"/>
    <mergeCell ref="G136:AN137"/>
    <mergeCell ref="L279:AM279"/>
    <mergeCell ref="T280:AC280"/>
    <mergeCell ref="L284:AM284"/>
    <mergeCell ref="L289:AM289"/>
    <mergeCell ref="M178:AG178"/>
    <mergeCell ref="G213:AM217"/>
    <mergeCell ref="G234:AM238"/>
    <mergeCell ref="B201:R201"/>
    <mergeCell ref="E145:I145"/>
    <mergeCell ref="G147:AJ149"/>
    <mergeCell ref="U185:AM185"/>
    <mergeCell ref="U187:AM187"/>
    <mergeCell ref="N189:AF189"/>
    <mergeCell ref="N195:AF195"/>
    <mergeCell ref="B200:R200"/>
    <mergeCell ref="G243:AM246"/>
    <mergeCell ref="G249:AM254"/>
    <mergeCell ref="B123:R123"/>
    <mergeCell ref="B57:R57"/>
    <mergeCell ref="T39:AL39"/>
    <mergeCell ref="AM39:AN39"/>
    <mergeCell ref="L82:AM82"/>
    <mergeCell ref="L91:AM91"/>
    <mergeCell ref="L100:AM100"/>
    <mergeCell ref="L109:AM109"/>
    <mergeCell ref="G351:AM362"/>
    <mergeCell ref="L294:AM294"/>
    <mergeCell ref="L299:AM299"/>
    <mergeCell ref="L304:AM304"/>
    <mergeCell ref="L309:AM309"/>
    <mergeCell ref="G316:AM316"/>
    <mergeCell ref="B329:R329"/>
    <mergeCell ref="B259:R259"/>
    <mergeCell ref="H335:AO338"/>
    <mergeCell ref="G126:AC126"/>
    <mergeCell ref="AD126:AE126"/>
    <mergeCell ref="G59:AC59"/>
    <mergeCell ref="AD59:AE59"/>
    <mergeCell ref="B56:R56"/>
    <mergeCell ref="G340:AM346"/>
    <mergeCell ref="G268:AM270"/>
    <mergeCell ref="AM36:AN36"/>
    <mergeCell ref="AM25:AN25"/>
    <mergeCell ref="V26:AL26"/>
    <mergeCell ref="AM26:AN26"/>
    <mergeCell ref="T31:AL31"/>
    <mergeCell ref="AM31:AN31"/>
    <mergeCell ref="T38:AL38"/>
    <mergeCell ref="AM38:AN38"/>
    <mergeCell ref="AM32:AN32"/>
    <mergeCell ref="T33:AL33"/>
    <mergeCell ref="AM33:AN33"/>
    <mergeCell ref="T37:AL37"/>
    <mergeCell ref="AM37:AN37"/>
    <mergeCell ref="T35:AL35"/>
    <mergeCell ref="T32:AL32"/>
    <mergeCell ref="T34:AL34"/>
    <mergeCell ref="AM34:AN34"/>
    <mergeCell ref="B18:D18"/>
    <mergeCell ref="F18:R18"/>
    <mergeCell ref="S18:W18"/>
    <mergeCell ref="Y18:AN18"/>
    <mergeCell ref="B10:W10"/>
    <mergeCell ref="X10:AO10"/>
    <mergeCell ref="B11:W12"/>
    <mergeCell ref="X11:AO12"/>
    <mergeCell ref="B13:AO13"/>
    <mergeCell ref="B14:D14"/>
    <mergeCell ref="F14:R14"/>
    <mergeCell ref="B20:D53"/>
    <mergeCell ref="V21:AL21"/>
    <mergeCell ref="AM21:AN21"/>
    <mergeCell ref="G24:AN24"/>
    <mergeCell ref="V25:AL25"/>
    <mergeCell ref="AM35:AN35"/>
    <mergeCell ref="T36:AL36"/>
    <mergeCell ref="B2:R2"/>
    <mergeCell ref="B1:R1"/>
    <mergeCell ref="B6:W6"/>
    <mergeCell ref="X6:AO6"/>
    <mergeCell ref="G4:AC4"/>
    <mergeCell ref="AD4:AE4"/>
    <mergeCell ref="AC1:AM1"/>
    <mergeCell ref="B7:W9"/>
    <mergeCell ref="AA7:AE7"/>
    <mergeCell ref="AJ7:AN7"/>
    <mergeCell ref="Y8:Z9"/>
    <mergeCell ref="AA8:AE9"/>
    <mergeCell ref="AF8:AG9"/>
    <mergeCell ref="AH8:AI9"/>
    <mergeCell ref="AJ8:AN9"/>
    <mergeCell ref="B15:D15"/>
    <mergeCell ref="F15:AN17"/>
  </mergeCells>
  <phoneticPr fontId="5"/>
  <dataValidations count="16">
    <dataValidation imeMode="halfAlpha" allowBlank="1" showInputMessage="1" showErrorMessage="1" sqref="J164 H25:H26 J25:J26 O25:O26 Q25:Q26 Q28 O28 H31:H39 J31:J39 O31:O39 Q31:Q39 L164 P164 R164 AE164" xr:uid="{00000000-0002-0000-0000-000000000000}"/>
    <dataValidation type="list" allowBlank="1" showInputMessage="1" showErrorMessage="1" sqref="T25:T26 T21" xr:uid="{00000000-0002-0000-0000-000001000000}">
      <formula1>"Ⅰ,Ⅱ"</formula1>
    </dataValidation>
    <dataValidation imeMode="halfKatakana" allowBlank="1" showInputMessage="1" showErrorMessage="1" sqref="B11:W12" xr:uid="{00000000-0002-0000-0000-000002000000}"/>
    <dataValidation imeMode="hiragana" allowBlank="1" showInputMessage="1" showErrorMessage="1" sqref="B7:W9" xr:uid="{00000000-0002-0000-0000-000003000000}"/>
    <dataValidation imeMode="off" allowBlank="1" showInputMessage="1" showErrorMessage="1" sqref="F14:R14 Y18:AN18 F18:R18" xr:uid="{00000000-0002-0000-0000-000004000000}"/>
    <dataValidation imeMode="hiragana" allowBlank="1" showInputMessage="1" sqref="T27:AN27 U25:V26 U21 V21:V22 T22:U22 T31:T39 W22:AN22" xr:uid="{00000000-0002-0000-0000-000005000000}"/>
    <dataValidation type="list" allowBlank="1" showInputMessage="1" sqref="E34:E36" xr:uid="{00000000-0002-0000-0000-000006000000}">
      <formula1>"'6."</formula1>
    </dataValidation>
    <dataValidation type="list" allowBlank="1" showInputMessage="1" sqref="E37" xr:uid="{00000000-0002-0000-0000-000007000000}">
      <formula1>"'7."</formula1>
    </dataValidation>
    <dataValidation type="list" allowBlank="1" showInputMessage="1" sqref="E38" xr:uid="{00000000-0002-0000-0000-000008000000}">
      <formula1>"'8."</formula1>
    </dataValidation>
    <dataValidation type="list" allowBlank="1" showInputMessage="1" sqref="E39" xr:uid="{00000000-0002-0000-0000-000009000000}">
      <formula1>"'9."</formula1>
    </dataValidation>
    <dataValidation type="list" errorStyle="warning" allowBlank="1" showInputMessage="1" showErrorMessage="1" sqref="F34:F39 M34:M39" xr:uid="{00000000-0002-0000-0000-00000A000000}">
      <formula1>"平成,"</formula1>
    </dataValidation>
    <dataValidation type="list" errorStyle="warning" allowBlank="1" showInputMessage="1" showErrorMessage="1" sqref="I34:I39 P34:P39" xr:uid="{00000000-0002-0000-0000-00000B000000}">
      <formula1>"年,"</formula1>
    </dataValidation>
    <dataValidation type="list" errorStyle="warning" allowBlank="1" showInputMessage="1" showErrorMessage="1" sqref="K34:K39 R34:R39" xr:uid="{00000000-0002-0000-0000-00000C000000}">
      <formula1>"月,"</formula1>
    </dataValidation>
    <dataValidation type="list" errorStyle="warning" allowBlank="1" showInputMessage="1" showErrorMessage="1" sqref="L34:L39" xr:uid="{00000000-0002-0000-0000-00000D000000}">
      <formula1>"～,"</formula1>
    </dataValidation>
    <dataValidation type="list" allowBlank="1" showInputMessage="1" showErrorMessage="1" sqref="AM21:AN21 AM25:AN26 AM31:AN39" xr:uid="{00000000-0002-0000-0000-00000E000000}">
      <formula1>"任期無,任期付,非常勤"</formula1>
    </dataValidation>
    <dataValidation type="list" errorStyle="warning" allowBlank="1" showInputMessage="1" showErrorMessage="1" sqref="B1:R1" xr:uid="{00000000-0002-0000-0000-00000F000000}">
      <formula1>"ＦＡＸ：０３－３２２２－１９８６,e-mail：kaitoku@jsps.go.jp"</formula1>
    </dataValidation>
  </dataValidations>
  <hyperlinks>
    <hyperlink ref="Y18" r:id="rId1" xr:uid="{9489E4C4-9461-4B54-99D1-162374FE4A5C}"/>
  </hyperlinks>
  <printOptions horizontalCentered="1"/>
  <pageMargins left="0" right="0" top="0.39370078740157483" bottom="0.39370078740157483" header="0" footer="0.19685039370078741"/>
  <pageSetup paperSize="9" fitToHeight="0" orientation="portrait" r:id="rId2"/>
  <headerFooter>
    <oddHeader xml:space="preserve">&amp;L&amp;"ＭＳ 明朝,標準"
</oddHeader>
    <oddFooter>&amp;C&amp;P</oddFooter>
  </headerFooter>
  <rowBreaks count="5" manualBreakCount="5">
    <brk id="55" max="40" man="1"/>
    <brk id="122" max="16383" man="1"/>
    <brk id="199" max="40" man="1"/>
    <brk id="258" max="16383" man="1"/>
    <brk id="328" max="41" man="1"/>
  </rowBreaks>
  <drawing r:id="rId3"/>
  <legacyDrawing r:id="rId4"/>
  <mc:AlternateContent xmlns:mc="http://schemas.openxmlformats.org/markup-compatibility/2006">
    <mc:Choice Requires="x14">
      <controls>
        <mc:AlternateContent xmlns:mc="http://schemas.openxmlformats.org/markup-compatibility/2006">
          <mc:Choice Requires="x14">
            <control shapeId="17409" r:id="rId5" name="Check Box 1">
              <controlPr defaultSize="0" autoFill="0" autoLine="0" autoPict="0">
                <anchor moveWithCells="1">
                  <from>
                    <xdr:col>4</xdr:col>
                    <xdr:colOff>165100</xdr:colOff>
                    <xdr:row>129</xdr:row>
                    <xdr:rowOff>165100</xdr:rowOff>
                  </from>
                  <to>
                    <xdr:col>6</xdr:col>
                    <xdr:colOff>127000</xdr:colOff>
                    <xdr:row>133</xdr:row>
                    <xdr:rowOff>19050</xdr:rowOff>
                  </to>
                </anchor>
              </controlPr>
            </control>
          </mc:Choice>
        </mc:AlternateContent>
        <mc:AlternateContent xmlns:mc="http://schemas.openxmlformats.org/markup-compatibility/2006">
          <mc:Choice Requires="x14">
            <control shapeId="17410" r:id="rId6" name="Check Box 2">
              <controlPr defaultSize="0" autoFill="0" autoLine="0" autoPict="0">
                <anchor moveWithCells="1">
                  <from>
                    <xdr:col>4</xdr:col>
                    <xdr:colOff>165100</xdr:colOff>
                    <xdr:row>131</xdr:row>
                    <xdr:rowOff>184150</xdr:rowOff>
                  </from>
                  <to>
                    <xdr:col>6</xdr:col>
                    <xdr:colOff>127000</xdr:colOff>
                    <xdr:row>134</xdr:row>
                    <xdr:rowOff>69850</xdr:rowOff>
                  </to>
                </anchor>
              </controlPr>
            </control>
          </mc:Choice>
        </mc:AlternateContent>
        <mc:AlternateContent xmlns:mc="http://schemas.openxmlformats.org/markup-compatibility/2006">
          <mc:Choice Requires="x14">
            <control shapeId="17411" r:id="rId7" name="Check Box 3">
              <controlPr defaultSize="0" autoFill="0" autoLine="0" autoPict="0">
                <anchor moveWithCells="1">
                  <from>
                    <xdr:col>5</xdr:col>
                    <xdr:colOff>12700</xdr:colOff>
                    <xdr:row>152</xdr:row>
                    <xdr:rowOff>0</xdr:rowOff>
                  </from>
                  <to>
                    <xdr:col>6</xdr:col>
                    <xdr:colOff>146050</xdr:colOff>
                    <xdr:row>152</xdr:row>
                    <xdr:rowOff>190500</xdr:rowOff>
                  </to>
                </anchor>
              </controlPr>
            </control>
          </mc:Choice>
        </mc:AlternateContent>
        <mc:AlternateContent xmlns:mc="http://schemas.openxmlformats.org/markup-compatibility/2006">
          <mc:Choice Requires="x14">
            <control shapeId="17412" r:id="rId8" name="Check Box 4">
              <controlPr defaultSize="0" autoFill="0" autoLine="0" autoPict="0">
                <anchor moveWithCells="1">
                  <from>
                    <xdr:col>13</xdr:col>
                    <xdr:colOff>19050</xdr:colOff>
                    <xdr:row>152</xdr:row>
                    <xdr:rowOff>0</xdr:rowOff>
                  </from>
                  <to>
                    <xdr:col>14</xdr:col>
                    <xdr:colOff>146050</xdr:colOff>
                    <xdr:row>152</xdr:row>
                    <xdr:rowOff>190500</xdr:rowOff>
                  </to>
                </anchor>
              </controlPr>
            </control>
          </mc:Choice>
        </mc:AlternateContent>
        <mc:AlternateContent xmlns:mc="http://schemas.openxmlformats.org/markup-compatibility/2006">
          <mc:Choice Requires="x14">
            <control shapeId="17413" r:id="rId9" name="Check Box 5">
              <controlPr defaultSize="0" autoFill="0" autoLine="0" autoPict="0">
                <anchor moveWithCells="1">
                  <from>
                    <xdr:col>21</xdr:col>
                    <xdr:colOff>31750</xdr:colOff>
                    <xdr:row>152</xdr:row>
                    <xdr:rowOff>0</xdr:rowOff>
                  </from>
                  <to>
                    <xdr:col>22</xdr:col>
                    <xdr:colOff>165100</xdr:colOff>
                    <xdr:row>152</xdr:row>
                    <xdr:rowOff>190500</xdr:rowOff>
                  </to>
                </anchor>
              </controlPr>
            </control>
          </mc:Choice>
        </mc:AlternateContent>
        <mc:AlternateContent xmlns:mc="http://schemas.openxmlformats.org/markup-compatibility/2006">
          <mc:Choice Requires="x14">
            <control shapeId="17414" r:id="rId10" name="Check Box 6">
              <controlPr defaultSize="0" autoFill="0" autoLine="0" autoPict="0">
                <anchor moveWithCells="1">
                  <from>
                    <xdr:col>28</xdr:col>
                    <xdr:colOff>19050</xdr:colOff>
                    <xdr:row>152</xdr:row>
                    <xdr:rowOff>0</xdr:rowOff>
                  </from>
                  <to>
                    <xdr:col>29</xdr:col>
                    <xdr:colOff>152400</xdr:colOff>
                    <xdr:row>153</xdr:row>
                    <xdr:rowOff>0</xdr:rowOff>
                  </to>
                </anchor>
              </controlPr>
            </control>
          </mc:Choice>
        </mc:AlternateContent>
        <mc:AlternateContent xmlns:mc="http://schemas.openxmlformats.org/markup-compatibility/2006">
          <mc:Choice Requires="x14">
            <control shapeId="17415" r:id="rId11" name="Check Box 7">
              <controlPr defaultSize="0" autoFill="0" autoLine="0" autoPict="0">
                <anchor moveWithCells="1">
                  <from>
                    <xdr:col>5</xdr:col>
                    <xdr:colOff>12700</xdr:colOff>
                    <xdr:row>153</xdr:row>
                    <xdr:rowOff>0</xdr:rowOff>
                  </from>
                  <to>
                    <xdr:col>6</xdr:col>
                    <xdr:colOff>146050</xdr:colOff>
                    <xdr:row>154</xdr:row>
                    <xdr:rowOff>12700</xdr:rowOff>
                  </to>
                </anchor>
              </controlPr>
            </control>
          </mc:Choice>
        </mc:AlternateContent>
        <mc:AlternateContent xmlns:mc="http://schemas.openxmlformats.org/markup-compatibility/2006">
          <mc:Choice Requires="x14">
            <control shapeId="17416" r:id="rId12" name="Check Box 8">
              <controlPr defaultSize="0" autoFill="0" autoLine="0" autoPict="0">
                <anchor moveWithCells="1">
                  <from>
                    <xdr:col>5</xdr:col>
                    <xdr:colOff>12700</xdr:colOff>
                    <xdr:row>154</xdr:row>
                    <xdr:rowOff>0</xdr:rowOff>
                  </from>
                  <to>
                    <xdr:col>6</xdr:col>
                    <xdr:colOff>146050</xdr:colOff>
                    <xdr:row>155</xdr:row>
                    <xdr:rowOff>12700</xdr:rowOff>
                  </to>
                </anchor>
              </controlPr>
            </control>
          </mc:Choice>
        </mc:AlternateContent>
        <mc:AlternateContent xmlns:mc="http://schemas.openxmlformats.org/markup-compatibility/2006">
          <mc:Choice Requires="x14">
            <control shapeId="17417" r:id="rId13" name="Check Box 9">
              <controlPr defaultSize="0" autoFill="0" autoLine="0" autoPict="0">
                <anchor moveWithCells="1">
                  <from>
                    <xdr:col>5</xdr:col>
                    <xdr:colOff>0</xdr:colOff>
                    <xdr:row>159</xdr:row>
                    <xdr:rowOff>69850</xdr:rowOff>
                  </from>
                  <to>
                    <xdr:col>6</xdr:col>
                    <xdr:colOff>133350</xdr:colOff>
                    <xdr:row>161</xdr:row>
                    <xdr:rowOff>12700</xdr:rowOff>
                  </to>
                </anchor>
              </controlPr>
            </control>
          </mc:Choice>
        </mc:AlternateContent>
        <mc:AlternateContent xmlns:mc="http://schemas.openxmlformats.org/markup-compatibility/2006">
          <mc:Choice Requires="x14">
            <control shapeId="17418" r:id="rId14" name="Check Box 10">
              <controlPr defaultSize="0" autoFill="0" autoLine="0" autoPict="0">
                <anchor moveWithCells="1">
                  <from>
                    <xdr:col>18</xdr:col>
                    <xdr:colOff>12700</xdr:colOff>
                    <xdr:row>160</xdr:row>
                    <xdr:rowOff>0</xdr:rowOff>
                  </from>
                  <to>
                    <xdr:col>19</xdr:col>
                    <xdr:colOff>146050</xdr:colOff>
                    <xdr:row>161</xdr:row>
                    <xdr:rowOff>19050</xdr:rowOff>
                  </to>
                </anchor>
              </controlPr>
            </control>
          </mc:Choice>
        </mc:AlternateContent>
        <mc:AlternateContent xmlns:mc="http://schemas.openxmlformats.org/markup-compatibility/2006">
          <mc:Choice Requires="x14">
            <control shapeId="17419" r:id="rId15" name="Check Box 11">
              <controlPr defaultSize="0" autoFill="0" autoLine="0" autoPict="0">
                <anchor moveWithCells="1">
                  <from>
                    <xdr:col>5</xdr:col>
                    <xdr:colOff>0</xdr:colOff>
                    <xdr:row>162</xdr:row>
                    <xdr:rowOff>0</xdr:rowOff>
                  </from>
                  <to>
                    <xdr:col>6</xdr:col>
                    <xdr:colOff>133350</xdr:colOff>
                    <xdr:row>163</xdr:row>
                    <xdr:rowOff>19050</xdr:rowOff>
                  </to>
                </anchor>
              </controlPr>
            </control>
          </mc:Choice>
        </mc:AlternateContent>
        <mc:AlternateContent xmlns:mc="http://schemas.openxmlformats.org/markup-compatibility/2006">
          <mc:Choice Requires="x14">
            <control shapeId="17420" r:id="rId16" name="Check Box 12">
              <controlPr defaultSize="0" autoFill="0" autoLine="0" autoPict="0">
                <anchor moveWithCells="1">
                  <from>
                    <xdr:col>6</xdr:col>
                    <xdr:colOff>0</xdr:colOff>
                    <xdr:row>175</xdr:row>
                    <xdr:rowOff>12700</xdr:rowOff>
                  </from>
                  <to>
                    <xdr:col>7</xdr:col>
                    <xdr:colOff>146050</xdr:colOff>
                    <xdr:row>176</xdr:row>
                    <xdr:rowOff>31750</xdr:rowOff>
                  </to>
                </anchor>
              </controlPr>
            </control>
          </mc:Choice>
        </mc:AlternateContent>
        <mc:AlternateContent xmlns:mc="http://schemas.openxmlformats.org/markup-compatibility/2006">
          <mc:Choice Requires="x14">
            <control shapeId="17421" r:id="rId17" name="Check Box 13">
              <controlPr defaultSize="0" autoFill="0" autoLine="0" autoPict="0">
                <anchor moveWithCells="1">
                  <from>
                    <xdr:col>11</xdr:col>
                    <xdr:colOff>19050</xdr:colOff>
                    <xdr:row>175</xdr:row>
                    <xdr:rowOff>0</xdr:rowOff>
                  </from>
                  <to>
                    <xdr:col>12</xdr:col>
                    <xdr:colOff>146050</xdr:colOff>
                    <xdr:row>176</xdr:row>
                    <xdr:rowOff>19050</xdr:rowOff>
                  </to>
                </anchor>
              </controlPr>
            </control>
          </mc:Choice>
        </mc:AlternateContent>
        <mc:AlternateContent xmlns:mc="http://schemas.openxmlformats.org/markup-compatibility/2006">
          <mc:Choice Requires="x14">
            <control shapeId="17422" r:id="rId18" name="Check Box 14">
              <controlPr defaultSize="0" autoFill="0" autoLine="0" autoPict="0">
                <anchor moveWithCells="1">
                  <from>
                    <xdr:col>17</xdr:col>
                    <xdr:colOff>19050</xdr:colOff>
                    <xdr:row>175</xdr:row>
                    <xdr:rowOff>0</xdr:rowOff>
                  </from>
                  <to>
                    <xdr:col>18</xdr:col>
                    <xdr:colOff>146050</xdr:colOff>
                    <xdr:row>176</xdr:row>
                    <xdr:rowOff>19050</xdr:rowOff>
                  </to>
                </anchor>
              </controlPr>
            </control>
          </mc:Choice>
        </mc:AlternateContent>
        <mc:AlternateContent xmlns:mc="http://schemas.openxmlformats.org/markup-compatibility/2006">
          <mc:Choice Requires="x14">
            <control shapeId="17423" r:id="rId19" name="Check Box 15">
              <controlPr defaultSize="0" autoFill="0" autoLine="0" autoPict="0">
                <anchor moveWithCells="1">
                  <from>
                    <xdr:col>22</xdr:col>
                    <xdr:colOff>31750</xdr:colOff>
                    <xdr:row>175</xdr:row>
                    <xdr:rowOff>0</xdr:rowOff>
                  </from>
                  <to>
                    <xdr:col>23</xdr:col>
                    <xdr:colOff>165100</xdr:colOff>
                    <xdr:row>176</xdr:row>
                    <xdr:rowOff>19050</xdr:rowOff>
                  </to>
                </anchor>
              </controlPr>
            </control>
          </mc:Choice>
        </mc:AlternateContent>
        <mc:AlternateContent xmlns:mc="http://schemas.openxmlformats.org/markup-compatibility/2006">
          <mc:Choice Requires="x14">
            <control shapeId="17424" r:id="rId20" name="Check Box 16">
              <controlPr defaultSize="0" autoFill="0" autoLine="0" autoPict="0">
                <anchor moveWithCells="1">
                  <from>
                    <xdr:col>32</xdr:col>
                    <xdr:colOff>31750</xdr:colOff>
                    <xdr:row>175</xdr:row>
                    <xdr:rowOff>12700</xdr:rowOff>
                  </from>
                  <to>
                    <xdr:col>33</xdr:col>
                    <xdr:colOff>165100</xdr:colOff>
                    <xdr:row>176</xdr:row>
                    <xdr:rowOff>31750</xdr:rowOff>
                  </to>
                </anchor>
              </controlPr>
            </control>
          </mc:Choice>
        </mc:AlternateContent>
        <mc:AlternateContent xmlns:mc="http://schemas.openxmlformats.org/markup-compatibility/2006">
          <mc:Choice Requires="x14">
            <control shapeId="17425" r:id="rId21" name="Check Box 17">
              <controlPr defaultSize="0" autoFill="0" autoLine="0" autoPict="0">
                <anchor moveWithCells="1">
                  <from>
                    <xdr:col>6</xdr:col>
                    <xdr:colOff>0</xdr:colOff>
                    <xdr:row>177</xdr:row>
                    <xdr:rowOff>0</xdr:rowOff>
                  </from>
                  <to>
                    <xdr:col>7</xdr:col>
                    <xdr:colOff>146050</xdr:colOff>
                    <xdr:row>178</xdr:row>
                    <xdr:rowOff>19050</xdr:rowOff>
                  </to>
                </anchor>
              </controlPr>
            </control>
          </mc:Choice>
        </mc:AlternateContent>
        <mc:AlternateContent xmlns:mc="http://schemas.openxmlformats.org/markup-compatibility/2006">
          <mc:Choice Requires="x14">
            <control shapeId="17426" r:id="rId22" name="Check Box 18">
              <controlPr defaultSize="0" autoFill="0" autoLine="0" autoPict="0">
                <anchor moveWithCells="1">
                  <from>
                    <xdr:col>6</xdr:col>
                    <xdr:colOff>19050</xdr:colOff>
                    <xdr:row>179</xdr:row>
                    <xdr:rowOff>152400</xdr:rowOff>
                  </from>
                  <to>
                    <xdr:col>7</xdr:col>
                    <xdr:colOff>152400</xdr:colOff>
                    <xdr:row>181</xdr:row>
                    <xdr:rowOff>12700</xdr:rowOff>
                  </to>
                </anchor>
              </controlPr>
            </control>
          </mc:Choice>
        </mc:AlternateContent>
        <mc:AlternateContent xmlns:mc="http://schemas.openxmlformats.org/markup-compatibility/2006">
          <mc:Choice Requires="x14">
            <control shapeId="17427" r:id="rId23" name="Check Box 19">
              <controlPr defaultSize="0" autoFill="0" autoLine="0" autoPict="0">
                <anchor moveWithCells="1">
                  <from>
                    <xdr:col>20</xdr:col>
                    <xdr:colOff>12700</xdr:colOff>
                    <xdr:row>180</xdr:row>
                    <xdr:rowOff>0</xdr:rowOff>
                  </from>
                  <to>
                    <xdr:col>21</xdr:col>
                    <xdr:colOff>133350</xdr:colOff>
                    <xdr:row>181</xdr:row>
                    <xdr:rowOff>19050</xdr:rowOff>
                  </to>
                </anchor>
              </controlPr>
            </control>
          </mc:Choice>
        </mc:AlternateContent>
        <mc:AlternateContent xmlns:mc="http://schemas.openxmlformats.org/markup-compatibility/2006">
          <mc:Choice Requires="x14">
            <control shapeId="17428" r:id="rId24" name="Check Box 20">
              <controlPr defaultSize="0" autoFill="0" autoLine="0" autoPict="0">
                <anchor moveWithCells="1">
                  <from>
                    <xdr:col>6</xdr:col>
                    <xdr:colOff>31750</xdr:colOff>
                    <xdr:row>191</xdr:row>
                    <xdr:rowOff>69850</xdr:rowOff>
                  </from>
                  <to>
                    <xdr:col>7</xdr:col>
                    <xdr:colOff>171450</xdr:colOff>
                    <xdr:row>193</xdr:row>
                    <xdr:rowOff>0</xdr:rowOff>
                  </to>
                </anchor>
              </controlPr>
            </control>
          </mc:Choice>
        </mc:AlternateContent>
        <mc:AlternateContent xmlns:mc="http://schemas.openxmlformats.org/markup-compatibility/2006">
          <mc:Choice Requires="x14">
            <control shapeId="17429" r:id="rId25" name="Check Box 21">
              <controlPr defaultSize="0" autoFill="0" autoLine="0" autoPict="0">
                <anchor moveWithCells="1">
                  <from>
                    <xdr:col>6</xdr:col>
                    <xdr:colOff>19050</xdr:colOff>
                    <xdr:row>184</xdr:row>
                    <xdr:rowOff>0</xdr:rowOff>
                  </from>
                  <to>
                    <xdr:col>7</xdr:col>
                    <xdr:colOff>152400</xdr:colOff>
                    <xdr:row>185</xdr:row>
                    <xdr:rowOff>19050</xdr:rowOff>
                  </to>
                </anchor>
              </controlPr>
            </control>
          </mc:Choice>
        </mc:AlternateContent>
        <mc:AlternateContent xmlns:mc="http://schemas.openxmlformats.org/markup-compatibility/2006">
          <mc:Choice Requires="x14">
            <control shapeId="17430" r:id="rId26" name="Check Box 22">
              <controlPr defaultSize="0" autoFill="0" autoLine="0" autoPict="0">
                <anchor moveWithCells="1">
                  <from>
                    <xdr:col>6</xdr:col>
                    <xdr:colOff>31750</xdr:colOff>
                    <xdr:row>187</xdr:row>
                    <xdr:rowOff>19050</xdr:rowOff>
                  </from>
                  <to>
                    <xdr:col>7</xdr:col>
                    <xdr:colOff>165100</xdr:colOff>
                    <xdr:row>189</xdr:row>
                    <xdr:rowOff>12700</xdr:rowOff>
                  </to>
                </anchor>
              </controlPr>
            </control>
          </mc:Choice>
        </mc:AlternateContent>
        <mc:AlternateContent xmlns:mc="http://schemas.openxmlformats.org/markup-compatibility/2006">
          <mc:Choice Requires="x14">
            <control shapeId="17431" r:id="rId27" name="Check Box 23">
              <controlPr defaultSize="0" autoFill="0" autoLine="0" autoPict="0">
                <anchor moveWithCells="1">
                  <from>
                    <xdr:col>6</xdr:col>
                    <xdr:colOff>31750</xdr:colOff>
                    <xdr:row>194</xdr:row>
                    <xdr:rowOff>12700</xdr:rowOff>
                  </from>
                  <to>
                    <xdr:col>7</xdr:col>
                    <xdr:colOff>171450</xdr:colOff>
                    <xdr:row>195</xdr:row>
                    <xdr:rowOff>31750</xdr:rowOff>
                  </to>
                </anchor>
              </controlPr>
            </control>
          </mc:Choice>
        </mc:AlternateContent>
        <mc:AlternateContent xmlns:mc="http://schemas.openxmlformats.org/markup-compatibility/2006">
          <mc:Choice Requires="x14">
            <control shapeId="17432" r:id="rId28" name="Check Box 24">
              <controlPr defaultSize="0" autoFill="0" autoLine="0" autoPict="0">
                <anchor moveWithCells="1">
                  <from>
                    <xdr:col>4</xdr:col>
                    <xdr:colOff>165100</xdr:colOff>
                    <xdr:row>273</xdr:row>
                    <xdr:rowOff>146050</xdr:rowOff>
                  </from>
                  <to>
                    <xdr:col>6</xdr:col>
                    <xdr:colOff>114300</xdr:colOff>
                    <xdr:row>275</xdr:row>
                    <xdr:rowOff>19050</xdr:rowOff>
                  </to>
                </anchor>
              </controlPr>
            </control>
          </mc:Choice>
        </mc:AlternateContent>
        <mc:AlternateContent xmlns:mc="http://schemas.openxmlformats.org/markup-compatibility/2006">
          <mc:Choice Requires="x14">
            <control shapeId="17433" r:id="rId29" name="Check Box 25">
              <controlPr defaultSize="0" autoFill="0" autoLine="0" autoPict="0">
                <anchor moveWithCells="1">
                  <from>
                    <xdr:col>13</xdr:col>
                    <xdr:colOff>0</xdr:colOff>
                    <xdr:row>273</xdr:row>
                    <xdr:rowOff>127000</xdr:rowOff>
                  </from>
                  <to>
                    <xdr:col>14</xdr:col>
                    <xdr:colOff>133350</xdr:colOff>
                    <xdr:row>274</xdr:row>
                    <xdr:rowOff>184150</xdr:rowOff>
                  </to>
                </anchor>
              </controlPr>
            </control>
          </mc:Choice>
        </mc:AlternateContent>
        <mc:AlternateContent xmlns:mc="http://schemas.openxmlformats.org/markup-compatibility/2006">
          <mc:Choice Requires="x14">
            <control shapeId="17434" r:id="rId30" name="Check Box 26">
              <controlPr defaultSize="0" autoFill="0" autoLine="0" autoPict="0">
                <anchor moveWithCells="1">
                  <from>
                    <xdr:col>23</xdr:col>
                    <xdr:colOff>19050</xdr:colOff>
                    <xdr:row>273</xdr:row>
                    <xdr:rowOff>146050</xdr:rowOff>
                  </from>
                  <to>
                    <xdr:col>24</xdr:col>
                    <xdr:colOff>146050</xdr:colOff>
                    <xdr:row>275</xdr:row>
                    <xdr:rowOff>19050</xdr:rowOff>
                  </to>
                </anchor>
              </controlPr>
            </control>
          </mc:Choice>
        </mc:AlternateContent>
        <mc:AlternateContent xmlns:mc="http://schemas.openxmlformats.org/markup-compatibility/2006">
          <mc:Choice Requires="x14">
            <control shapeId="17435" r:id="rId31" name="Check Box 27">
              <controlPr defaultSize="0" autoFill="0" autoLine="0" autoPict="0">
                <anchor moveWithCells="1">
                  <from>
                    <xdr:col>31</xdr:col>
                    <xdr:colOff>19050</xdr:colOff>
                    <xdr:row>274</xdr:row>
                    <xdr:rowOff>0</xdr:rowOff>
                  </from>
                  <to>
                    <xdr:col>32</xdr:col>
                    <xdr:colOff>152400</xdr:colOff>
                    <xdr:row>275</xdr:row>
                    <xdr:rowOff>19050</xdr:rowOff>
                  </to>
                </anchor>
              </controlPr>
            </control>
          </mc:Choice>
        </mc:AlternateContent>
        <mc:AlternateContent xmlns:mc="http://schemas.openxmlformats.org/markup-compatibility/2006">
          <mc:Choice Requires="x14">
            <control shapeId="17436" r:id="rId32" name="Check Box 28">
              <controlPr defaultSize="0" autoFill="0" autoLine="0" autoPict="0">
                <anchor moveWithCells="1">
                  <from>
                    <xdr:col>4</xdr:col>
                    <xdr:colOff>165100</xdr:colOff>
                    <xdr:row>276</xdr:row>
                    <xdr:rowOff>12700</xdr:rowOff>
                  </from>
                  <to>
                    <xdr:col>6</xdr:col>
                    <xdr:colOff>114300</xdr:colOff>
                    <xdr:row>277</xdr:row>
                    <xdr:rowOff>31750</xdr:rowOff>
                  </to>
                </anchor>
              </controlPr>
            </control>
          </mc:Choice>
        </mc:AlternateContent>
        <mc:AlternateContent xmlns:mc="http://schemas.openxmlformats.org/markup-compatibility/2006">
          <mc:Choice Requires="x14">
            <control shapeId="17437" r:id="rId33" name="Check Box 29">
              <controlPr defaultSize="0" autoFill="0" autoLine="0" autoPict="0">
                <anchor moveWithCells="1">
                  <from>
                    <xdr:col>13</xdr:col>
                    <xdr:colOff>0</xdr:colOff>
                    <xdr:row>275</xdr:row>
                    <xdr:rowOff>31750</xdr:rowOff>
                  </from>
                  <to>
                    <xdr:col>14</xdr:col>
                    <xdr:colOff>133350</xdr:colOff>
                    <xdr:row>277</xdr:row>
                    <xdr:rowOff>12700</xdr:rowOff>
                  </to>
                </anchor>
              </controlPr>
            </control>
          </mc:Choice>
        </mc:AlternateContent>
        <mc:AlternateContent xmlns:mc="http://schemas.openxmlformats.org/markup-compatibility/2006">
          <mc:Choice Requires="x14">
            <control shapeId="17438" r:id="rId34" name="Check Box 30">
              <controlPr defaultSize="0" autoFill="0" autoLine="0" autoPict="0">
                <anchor moveWithCells="1">
                  <from>
                    <xdr:col>23</xdr:col>
                    <xdr:colOff>12700</xdr:colOff>
                    <xdr:row>276</xdr:row>
                    <xdr:rowOff>0</xdr:rowOff>
                  </from>
                  <to>
                    <xdr:col>24</xdr:col>
                    <xdr:colOff>133350</xdr:colOff>
                    <xdr:row>277</xdr:row>
                    <xdr:rowOff>19050</xdr:rowOff>
                  </to>
                </anchor>
              </controlPr>
            </control>
          </mc:Choice>
        </mc:AlternateContent>
        <mc:AlternateContent xmlns:mc="http://schemas.openxmlformats.org/markup-compatibility/2006">
          <mc:Choice Requires="x14">
            <control shapeId="17439" r:id="rId35" name="Check Box 31">
              <controlPr defaultSize="0" autoFill="0" autoLine="0" autoPict="0">
                <anchor moveWithCells="1">
                  <from>
                    <xdr:col>4</xdr:col>
                    <xdr:colOff>165100</xdr:colOff>
                    <xdr:row>278</xdr:row>
                    <xdr:rowOff>0</xdr:rowOff>
                  </from>
                  <to>
                    <xdr:col>6</xdr:col>
                    <xdr:colOff>114300</xdr:colOff>
                    <xdr:row>279</xdr:row>
                    <xdr:rowOff>19050</xdr:rowOff>
                  </to>
                </anchor>
              </controlPr>
            </control>
          </mc:Choice>
        </mc:AlternateContent>
        <mc:AlternateContent xmlns:mc="http://schemas.openxmlformats.org/markup-compatibility/2006">
          <mc:Choice Requires="x14">
            <control shapeId="17440" r:id="rId36" name="Check Box 32">
              <controlPr defaultSize="0" autoFill="0" autoLine="0" autoPict="0">
                <anchor moveWithCells="1">
                  <from>
                    <xdr:col>4</xdr:col>
                    <xdr:colOff>165100</xdr:colOff>
                    <xdr:row>280</xdr:row>
                    <xdr:rowOff>133350</xdr:rowOff>
                  </from>
                  <to>
                    <xdr:col>6</xdr:col>
                    <xdr:colOff>114300</xdr:colOff>
                    <xdr:row>282</xdr:row>
                    <xdr:rowOff>0</xdr:rowOff>
                  </to>
                </anchor>
              </controlPr>
            </control>
          </mc:Choice>
        </mc:AlternateContent>
        <mc:AlternateContent xmlns:mc="http://schemas.openxmlformats.org/markup-compatibility/2006">
          <mc:Choice Requires="x14">
            <control shapeId="17441" r:id="rId37" name="Check Box 33">
              <controlPr defaultSize="0" autoFill="0" autoLine="0" autoPict="0">
                <anchor moveWithCells="1">
                  <from>
                    <xdr:col>16</xdr:col>
                    <xdr:colOff>12700</xdr:colOff>
                    <xdr:row>280</xdr:row>
                    <xdr:rowOff>146050</xdr:rowOff>
                  </from>
                  <to>
                    <xdr:col>17</xdr:col>
                    <xdr:colOff>146050</xdr:colOff>
                    <xdr:row>282</xdr:row>
                    <xdr:rowOff>12700</xdr:rowOff>
                  </to>
                </anchor>
              </controlPr>
            </control>
          </mc:Choice>
        </mc:AlternateContent>
        <mc:AlternateContent xmlns:mc="http://schemas.openxmlformats.org/markup-compatibility/2006">
          <mc:Choice Requires="x14">
            <control shapeId="17442" r:id="rId38" name="Check Box 34">
              <controlPr defaultSize="0" autoFill="0" autoLine="0" autoPict="0">
                <anchor moveWithCells="1">
                  <from>
                    <xdr:col>25</xdr:col>
                    <xdr:colOff>31750</xdr:colOff>
                    <xdr:row>280</xdr:row>
                    <xdr:rowOff>146050</xdr:rowOff>
                  </from>
                  <to>
                    <xdr:col>26</xdr:col>
                    <xdr:colOff>165100</xdr:colOff>
                    <xdr:row>282</xdr:row>
                    <xdr:rowOff>19050</xdr:rowOff>
                  </to>
                </anchor>
              </controlPr>
            </control>
          </mc:Choice>
        </mc:AlternateContent>
        <mc:AlternateContent xmlns:mc="http://schemas.openxmlformats.org/markup-compatibility/2006">
          <mc:Choice Requires="x14">
            <control shapeId="17443" r:id="rId39" name="Check Box 35">
              <controlPr defaultSize="0" autoFill="0" autoLine="0" autoPict="0">
                <anchor moveWithCells="1">
                  <from>
                    <xdr:col>4</xdr:col>
                    <xdr:colOff>165100</xdr:colOff>
                    <xdr:row>283</xdr:row>
                    <xdr:rowOff>0</xdr:rowOff>
                  </from>
                  <to>
                    <xdr:col>6</xdr:col>
                    <xdr:colOff>114300</xdr:colOff>
                    <xdr:row>284</xdr:row>
                    <xdr:rowOff>12700</xdr:rowOff>
                  </to>
                </anchor>
              </controlPr>
            </control>
          </mc:Choice>
        </mc:AlternateContent>
        <mc:AlternateContent xmlns:mc="http://schemas.openxmlformats.org/markup-compatibility/2006">
          <mc:Choice Requires="x14">
            <control shapeId="17444" r:id="rId40" name="Check Box 36">
              <controlPr defaultSize="0" autoFill="0" autoLine="0" autoPict="0">
                <anchor moveWithCells="1">
                  <from>
                    <xdr:col>4</xdr:col>
                    <xdr:colOff>165100</xdr:colOff>
                    <xdr:row>286</xdr:row>
                    <xdr:rowOff>0</xdr:rowOff>
                  </from>
                  <to>
                    <xdr:col>6</xdr:col>
                    <xdr:colOff>114300</xdr:colOff>
                    <xdr:row>287</xdr:row>
                    <xdr:rowOff>19050</xdr:rowOff>
                  </to>
                </anchor>
              </controlPr>
            </control>
          </mc:Choice>
        </mc:AlternateContent>
        <mc:AlternateContent xmlns:mc="http://schemas.openxmlformats.org/markup-compatibility/2006">
          <mc:Choice Requires="x14">
            <control shapeId="17445" r:id="rId41" name="Check Box 37">
              <controlPr defaultSize="0" autoFill="0" autoLine="0" autoPict="0">
                <anchor moveWithCells="1">
                  <from>
                    <xdr:col>22</xdr:col>
                    <xdr:colOff>31750</xdr:colOff>
                    <xdr:row>286</xdr:row>
                    <xdr:rowOff>0</xdr:rowOff>
                  </from>
                  <to>
                    <xdr:col>23</xdr:col>
                    <xdr:colOff>165100</xdr:colOff>
                    <xdr:row>287</xdr:row>
                    <xdr:rowOff>19050</xdr:rowOff>
                  </to>
                </anchor>
              </controlPr>
            </control>
          </mc:Choice>
        </mc:AlternateContent>
        <mc:AlternateContent xmlns:mc="http://schemas.openxmlformats.org/markup-compatibility/2006">
          <mc:Choice Requires="x14">
            <control shapeId="17446" r:id="rId42" name="Check Box 38">
              <controlPr defaultSize="0" autoFill="0" autoLine="0" autoPict="0">
                <anchor moveWithCells="1">
                  <from>
                    <xdr:col>4</xdr:col>
                    <xdr:colOff>165100</xdr:colOff>
                    <xdr:row>288</xdr:row>
                    <xdr:rowOff>0</xdr:rowOff>
                  </from>
                  <to>
                    <xdr:col>6</xdr:col>
                    <xdr:colOff>114300</xdr:colOff>
                    <xdr:row>289</xdr:row>
                    <xdr:rowOff>19050</xdr:rowOff>
                  </to>
                </anchor>
              </controlPr>
            </control>
          </mc:Choice>
        </mc:AlternateContent>
        <mc:AlternateContent xmlns:mc="http://schemas.openxmlformats.org/markup-compatibility/2006">
          <mc:Choice Requires="x14">
            <control shapeId="17447" r:id="rId43" name="Check Box 39">
              <controlPr defaultSize="0" autoFill="0" autoLine="0" autoPict="0">
                <anchor moveWithCells="1">
                  <from>
                    <xdr:col>4</xdr:col>
                    <xdr:colOff>165100</xdr:colOff>
                    <xdr:row>291</xdr:row>
                    <xdr:rowOff>0</xdr:rowOff>
                  </from>
                  <to>
                    <xdr:col>6</xdr:col>
                    <xdr:colOff>114300</xdr:colOff>
                    <xdr:row>292</xdr:row>
                    <xdr:rowOff>19050</xdr:rowOff>
                  </to>
                </anchor>
              </controlPr>
            </control>
          </mc:Choice>
        </mc:AlternateContent>
        <mc:AlternateContent xmlns:mc="http://schemas.openxmlformats.org/markup-compatibility/2006">
          <mc:Choice Requires="x14">
            <control shapeId="17448" r:id="rId44" name="Check Box 40">
              <controlPr defaultSize="0" autoFill="0" autoLine="0" autoPict="0">
                <anchor moveWithCells="1">
                  <from>
                    <xdr:col>13</xdr:col>
                    <xdr:colOff>0</xdr:colOff>
                    <xdr:row>290</xdr:row>
                    <xdr:rowOff>146050</xdr:rowOff>
                  </from>
                  <to>
                    <xdr:col>14</xdr:col>
                    <xdr:colOff>133350</xdr:colOff>
                    <xdr:row>292</xdr:row>
                    <xdr:rowOff>19050</xdr:rowOff>
                  </to>
                </anchor>
              </controlPr>
            </control>
          </mc:Choice>
        </mc:AlternateContent>
        <mc:AlternateContent xmlns:mc="http://schemas.openxmlformats.org/markup-compatibility/2006">
          <mc:Choice Requires="x14">
            <control shapeId="17449" r:id="rId45" name="Check Box 41">
              <controlPr defaultSize="0" autoFill="0" autoLine="0" autoPict="0">
                <anchor moveWithCells="1">
                  <from>
                    <xdr:col>22</xdr:col>
                    <xdr:colOff>31750</xdr:colOff>
                    <xdr:row>290</xdr:row>
                    <xdr:rowOff>146050</xdr:rowOff>
                  </from>
                  <to>
                    <xdr:col>23</xdr:col>
                    <xdr:colOff>165100</xdr:colOff>
                    <xdr:row>292</xdr:row>
                    <xdr:rowOff>19050</xdr:rowOff>
                  </to>
                </anchor>
              </controlPr>
            </control>
          </mc:Choice>
        </mc:AlternateContent>
        <mc:AlternateContent xmlns:mc="http://schemas.openxmlformats.org/markup-compatibility/2006">
          <mc:Choice Requires="x14">
            <control shapeId="17450" r:id="rId46" name="Check Box 42">
              <controlPr defaultSize="0" autoFill="0" autoLine="0" autoPict="0">
                <anchor moveWithCells="1">
                  <from>
                    <xdr:col>28</xdr:col>
                    <xdr:colOff>31750</xdr:colOff>
                    <xdr:row>290</xdr:row>
                    <xdr:rowOff>146050</xdr:rowOff>
                  </from>
                  <to>
                    <xdr:col>29</xdr:col>
                    <xdr:colOff>165100</xdr:colOff>
                    <xdr:row>292</xdr:row>
                    <xdr:rowOff>19050</xdr:rowOff>
                  </to>
                </anchor>
              </controlPr>
            </control>
          </mc:Choice>
        </mc:AlternateContent>
        <mc:AlternateContent xmlns:mc="http://schemas.openxmlformats.org/markup-compatibility/2006">
          <mc:Choice Requires="x14">
            <control shapeId="17451" r:id="rId47" name="Check Box 43">
              <controlPr defaultSize="0" autoFill="0" autoLine="0" autoPict="0">
                <anchor moveWithCells="1">
                  <from>
                    <xdr:col>4</xdr:col>
                    <xdr:colOff>165100</xdr:colOff>
                    <xdr:row>293</xdr:row>
                    <xdr:rowOff>0</xdr:rowOff>
                  </from>
                  <to>
                    <xdr:col>6</xdr:col>
                    <xdr:colOff>114300</xdr:colOff>
                    <xdr:row>294</xdr:row>
                    <xdr:rowOff>19050</xdr:rowOff>
                  </to>
                </anchor>
              </controlPr>
            </control>
          </mc:Choice>
        </mc:AlternateContent>
        <mc:AlternateContent xmlns:mc="http://schemas.openxmlformats.org/markup-compatibility/2006">
          <mc:Choice Requires="x14">
            <control shapeId="17452" r:id="rId48" name="Check Box 44">
              <controlPr defaultSize="0" autoFill="0" autoLine="0" autoPict="0">
                <anchor moveWithCells="1">
                  <from>
                    <xdr:col>4</xdr:col>
                    <xdr:colOff>165100</xdr:colOff>
                    <xdr:row>296</xdr:row>
                    <xdr:rowOff>12700</xdr:rowOff>
                  </from>
                  <to>
                    <xdr:col>6</xdr:col>
                    <xdr:colOff>114300</xdr:colOff>
                    <xdr:row>297</xdr:row>
                    <xdr:rowOff>31750</xdr:rowOff>
                  </to>
                </anchor>
              </controlPr>
            </control>
          </mc:Choice>
        </mc:AlternateContent>
        <mc:AlternateContent xmlns:mc="http://schemas.openxmlformats.org/markup-compatibility/2006">
          <mc:Choice Requires="x14">
            <control shapeId="17453" r:id="rId49" name="Check Box 45">
              <controlPr defaultSize="0" autoFill="0" autoLine="0" autoPict="0">
                <anchor moveWithCells="1">
                  <from>
                    <xdr:col>22</xdr:col>
                    <xdr:colOff>31750</xdr:colOff>
                    <xdr:row>296</xdr:row>
                    <xdr:rowOff>0</xdr:rowOff>
                  </from>
                  <to>
                    <xdr:col>23</xdr:col>
                    <xdr:colOff>165100</xdr:colOff>
                    <xdr:row>297</xdr:row>
                    <xdr:rowOff>19050</xdr:rowOff>
                  </to>
                </anchor>
              </controlPr>
            </control>
          </mc:Choice>
        </mc:AlternateContent>
        <mc:AlternateContent xmlns:mc="http://schemas.openxmlformats.org/markup-compatibility/2006">
          <mc:Choice Requires="x14">
            <control shapeId="17454" r:id="rId50" name="Check Box 46">
              <controlPr defaultSize="0" autoFill="0" autoLine="0" autoPict="0">
                <anchor moveWithCells="1">
                  <from>
                    <xdr:col>4</xdr:col>
                    <xdr:colOff>165100</xdr:colOff>
                    <xdr:row>298</xdr:row>
                    <xdr:rowOff>0</xdr:rowOff>
                  </from>
                  <to>
                    <xdr:col>6</xdr:col>
                    <xdr:colOff>114300</xdr:colOff>
                    <xdr:row>299</xdr:row>
                    <xdr:rowOff>19050</xdr:rowOff>
                  </to>
                </anchor>
              </controlPr>
            </control>
          </mc:Choice>
        </mc:AlternateContent>
        <mc:AlternateContent xmlns:mc="http://schemas.openxmlformats.org/markup-compatibility/2006">
          <mc:Choice Requires="x14">
            <control shapeId="17455" r:id="rId51" name="Check Box 47">
              <controlPr defaultSize="0" autoFill="0" autoLine="0" autoPict="0">
                <anchor moveWithCells="1">
                  <from>
                    <xdr:col>4</xdr:col>
                    <xdr:colOff>165100</xdr:colOff>
                    <xdr:row>301</xdr:row>
                    <xdr:rowOff>12700</xdr:rowOff>
                  </from>
                  <to>
                    <xdr:col>6</xdr:col>
                    <xdr:colOff>114300</xdr:colOff>
                    <xdr:row>302</xdr:row>
                    <xdr:rowOff>31750</xdr:rowOff>
                  </to>
                </anchor>
              </controlPr>
            </control>
          </mc:Choice>
        </mc:AlternateContent>
        <mc:AlternateContent xmlns:mc="http://schemas.openxmlformats.org/markup-compatibility/2006">
          <mc:Choice Requires="x14">
            <control shapeId="17456" r:id="rId52" name="Check Box 48">
              <controlPr defaultSize="0" autoFill="0" autoLine="0" autoPict="0">
                <anchor moveWithCells="1">
                  <from>
                    <xdr:col>13</xdr:col>
                    <xdr:colOff>0</xdr:colOff>
                    <xdr:row>301</xdr:row>
                    <xdr:rowOff>12700</xdr:rowOff>
                  </from>
                  <to>
                    <xdr:col>14</xdr:col>
                    <xdr:colOff>133350</xdr:colOff>
                    <xdr:row>302</xdr:row>
                    <xdr:rowOff>31750</xdr:rowOff>
                  </to>
                </anchor>
              </controlPr>
            </control>
          </mc:Choice>
        </mc:AlternateContent>
        <mc:AlternateContent xmlns:mc="http://schemas.openxmlformats.org/markup-compatibility/2006">
          <mc:Choice Requires="x14">
            <control shapeId="17457" r:id="rId53" name="Check Box 49">
              <controlPr defaultSize="0" autoFill="0" autoLine="0" autoPict="0">
                <anchor moveWithCells="1">
                  <from>
                    <xdr:col>22</xdr:col>
                    <xdr:colOff>19050</xdr:colOff>
                    <xdr:row>301</xdr:row>
                    <xdr:rowOff>0</xdr:rowOff>
                  </from>
                  <to>
                    <xdr:col>23</xdr:col>
                    <xdr:colOff>152400</xdr:colOff>
                    <xdr:row>302</xdr:row>
                    <xdr:rowOff>19050</xdr:rowOff>
                  </to>
                </anchor>
              </controlPr>
            </control>
          </mc:Choice>
        </mc:AlternateContent>
        <mc:AlternateContent xmlns:mc="http://schemas.openxmlformats.org/markup-compatibility/2006">
          <mc:Choice Requires="x14">
            <control shapeId="17458" r:id="rId54" name="Check Box 50">
              <controlPr defaultSize="0" autoFill="0" autoLine="0" autoPict="0">
                <anchor moveWithCells="1">
                  <from>
                    <xdr:col>28</xdr:col>
                    <xdr:colOff>19050</xdr:colOff>
                    <xdr:row>301</xdr:row>
                    <xdr:rowOff>0</xdr:rowOff>
                  </from>
                  <to>
                    <xdr:col>29</xdr:col>
                    <xdr:colOff>165100</xdr:colOff>
                    <xdr:row>302</xdr:row>
                    <xdr:rowOff>19050</xdr:rowOff>
                  </to>
                </anchor>
              </controlPr>
            </control>
          </mc:Choice>
        </mc:AlternateContent>
        <mc:AlternateContent xmlns:mc="http://schemas.openxmlformats.org/markup-compatibility/2006">
          <mc:Choice Requires="x14">
            <control shapeId="17459" r:id="rId55" name="Check Box 51">
              <controlPr defaultSize="0" autoFill="0" autoLine="0" autoPict="0">
                <anchor moveWithCells="1">
                  <from>
                    <xdr:col>4</xdr:col>
                    <xdr:colOff>165100</xdr:colOff>
                    <xdr:row>303</xdr:row>
                    <xdr:rowOff>12700</xdr:rowOff>
                  </from>
                  <to>
                    <xdr:col>6</xdr:col>
                    <xdr:colOff>114300</xdr:colOff>
                    <xdr:row>304</xdr:row>
                    <xdr:rowOff>31750</xdr:rowOff>
                  </to>
                </anchor>
              </controlPr>
            </control>
          </mc:Choice>
        </mc:AlternateContent>
        <mc:AlternateContent xmlns:mc="http://schemas.openxmlformats.org/markup-compatibility/2006">
          <mc:Choice Requires="x14">
            <control shapeId="17460" r:id="rId56" name="Check Box 52">
              <controlPr defaultSize="0" autoFill="0" autoLine="0" autoPict="0">
                <anchor moveWithCells="1">
                  <from>
                    <xdr:col>4</xdr:col>
                    <xdr:colOff>165100</xdr:colOff>
                    <xdr:row>305</xdr:row>
                    <xdr:rowOff>133350</xdr:rowOff>
                  </from>
                  <to>
                    <xdr:col>6</xdr:col>
                    <xdr:colOff>114300</xdr:colOff>
                    <xdr:row>307</xdr:row>
                    <xdr:rowOff>0</xdr:rowOff>
                  </to>
                </anchor>
              </controlPr>
            </control>
          </mc:Choice>
        </mc:AlternateContent>
        <mc:AlternateContent xmlns:mc="http://schemas.openxmlformats.org/markup-compatibility/2006">
          <mc:Choice Requires="x14">
            <control shapeId="17461" r:id="rId57" name="Check Box 53">
              <controlPr defaultSize="0" autoFill="0" autoLine="0" autoPict="0">
                <anchor moveWithCells="1">
                  <from>
                    <xdr:col>13</xdr:col>
                    <xdr:colOff>0</xdr:colOff>
                    <xdr:row>305</xdr:row>
                    <xdr:rowOff>146050</xdr:rowOff>
                  </from>
                  <to>
                    <xdr:col>14</xdr:col>
                    <xdr:colOff>133350</xdr:colOff>
                    <xdr:row>307</xdr:row>
                    <xdr:rowOff>19050</xdr:rowOff>
                  </to>
                </anchor>
              </controlPr>
            </control>
          </mc:Choice>
        </mc:AlternateContent>
        <mc:AlternateContent xmlns:mc="http://schemas.openxmlformats.org/markup-compatibility/2006">
          <mc:Choice Requires="x14">
            <control shapeId="17462" r:id="rId58" name="Check Box 54">
              <controlPr defaultSize="0" autoFill="0" autoLine="0" autoPict="0">
                <anchor moveWithCells="1">
                  <from>
                    <xdr:col>22</xdr:col>
                    <xdr:colOff>31750</xdr:colOff>
                    <xdr:row>305</xdr:row>
                    <xdr:rowOff>146050</xdr:rowOff>
                  </from>
                  <to>
                    <xdr:col>23</xdr:col>
                    <xdr:colOff>165100</xdr:colOff>
                    <xdr:row>307</xdr:row>
                    <xdr:rowOff>19050</xdr:rowOff>
                  </to>
                </anchor>
              </controlPr>
            </control>
          </mc:Choice>
        </mc:AlternateContent>
        <mc:AlternateContent xmlns:mc="http://schemas.openxmlformats.org/markup-compatibility/2006">
          <mc:Choice Requires="x14">
            <control shapeId="17463" r:id="rId59" name="Check Box 55">
              <controlPr defaultSize="0" autoFill="0" autoLine="0" autoPict="0">
                <anchor moveWithCells="1">
                  <from>
                    <xdr:col>4</xdr:col>
                    <xdr:colOff>165100</xdr:colOff>
                    <xdr:row>308</xdr:row>
                    <xdr:rowOff>12700</xdr:rowOff>
                  </from>
                  <to>
                    <xdr:col>6</xdr:col>
                    <xdr:colOff>114300</xdr:colOff>
                    <xdr:row>309</xdr:row>
                    <xdr:rowOff>31750</xdr:rowOff>
                  </to>
                </anchor>
              </controlPr>
            </control>
          </mc:Choice>
        </mc:AlternateContent>
        <mc:AlternateContent xmlns:mc="http://schemas.openxmlformats.org/markup-compatibility/2006">
          <mc:Choice Requires="x14">
            <control shapeId="17464" r:id="rId60" name="Check Box 56">
              <controlPr defaultSize="0" autoFill="0" autoLine="0" autoPict="0">
                <anchor moveWithCells="1">
                  <from>
                    <xdr:col>4</xdr:col>
                    <xdr:colOff>165100</xdr:colOff>
                    <xdr:row>309</xdr:row>
                    <xdr:rowOff>146050</xdr:rowOff>
                  </from>
                  <to>
                    <xdr:col>6</xdr:col>
                    <xdr:colOff>114300</xdr:colOff>
                    <xdr:row>311</xdr:row>
                    <xdr:rowOff>12700</xdr:rowOff>
                  </to>
                </anchor>
              </controlPr>
            </control>
          </mc:Choice>
        </mc:AlternateContent>
        <mc:AlternateContent xmlns:mc="http://schemas.openxmlformats.org/markup-compatibility/2006">
          <mc:Choice Requires="x14">
            <control shapeId="17465" r:id="rId61" name="Check Box 57">
              <controlPr defaultSize="0" autoFill="0" autoLine="0" autoPict="0">
                <anchor moveWithCells="1">
                  <from>
                    <xdr:col>4</xdr:col>
                    <xdr:colOff>165100</xdr:colOff>
                    <xdr:row>312</xdr:row>
                    <xdr:rowOff>0</xdr:rowOff>
                  </from>
                  <to>
                    <xdr:col>6</xdr:col>
                    <xdr:colOff>114300</xdr:colOff>
                    <xdr:row>313</xdr:row>
                    <xdr:rowOff>19050</xdr:rowOff>
                  </to>
                </anchor>
              </controlPr>
            </control>
          </mc:Choice>
        </mc:AlternateContent>
        <mc:AlternateContent xmlns:mc="http://schemas.openxmlformats.org/markup-compatibility/2006">
          <mc:Choice Requires="x14">
            <control shapeId="17466" r:id="rId62" name="Check Box 58">
              <controlPr defaultSize="0" autoFill="0" autoLine="0" autoPict="0">
                <anchor moveWithCells="1">
                  <from>
                    <xdr:col>4</xdr:col>
                    <xdr:colOff>165100</xdr:colOff>
                    <xdr:row>314</xdr:row>
                    <xdr:rowOff>0</xdr:rowOff>
                  </from>
                  <to>
                    <xdr:col>6</xdr:col>
                    <xdr:colOff>114300</xdr:colOff>
                    <xdr:row>315</xdr:row>
                    <xdr:rowOff>19050</xdr:rowOff>
                  </to>
                </anchor>
              </controlPr>
            </control>
          </mc:Choice>
        </mc:AlternateContent>
        <mc:AlternateContent xmlns:mc="http://schemas.openxmlformats.org/markup-compatibility/2006">
          <mc:Choice Requires="x14">
            <control shapeId="17467" r:id="rId63" name="Check Box 59">
              <controlPr defaultSize="0" autoFill="0" autoLine="0" autoPict="0">
                <anchor moveWithCells="1">
                  <from>
                    <xdr:col>4</xdr:col>
                    <xdr:colOff>171450</xdr:colOff>
                    <xdr:row>165</xdr:row>
                    <xdr:rowOff>31750</xdr:rowOff>
                  </from>
                  <to>
                    <xdr:col>6</xdr:col>
                    <xdr:colOff>127000</xdr:colOff>
                    <xdr:row>167</xdr:row>
                    <xdr:rowOff>12700</xdr:rowOff>
                  </to>
                </anchor>
              </controlPr>
            </control>
          </mc:Choice>
        </mc:AlternateContent>
        <mc:AlternateContent xmlns:mc="http://schemas.openxmlformats.org/markup-compatibility/2006">
          <mc:Choice Requires="x14">
            <control shapeId="17468" r:id="rId64" name="Check Box 60">
              <controlPr defaultSize="0" autoFill="0" autoLine="0" autoPict="0">
                <anchor moveWithCells="1">
                  <from>
                    <xdr:col>14</xdr:col>
                    <xdr:colOff>12700</xdr:colOff>
                    <xdr:row>165</xdr:row>
                    <xdr:rowOff>31750</xdr:rowOff>
                  </from>
                  <to>
                    <xdr:col>15</xdr:col>
                    <xdr:colOff>133350</xdr:colOff>
                    <xdr:row>167</xdr:row>
                    <xdr:rowOff>12700</xdr:rowOff>
                  </to>
                </anchor>
              </controlPr>
            </control>
          </mc:Choice>
        </mc:AlternateContent>
        <mc:AlternateContent xmlns:mc="http://schemas.openxmlformats.org/markup-compatibility/2006">
          <mc:Choice Requires="x14">
            <control shapeId="17469" r:id="rId65" name="Check Box 61">
              <controlPr defaultSize="0" autoFill="0" autoLine="0" autoPict="0">
                <anchor moveWithCells="1">
                  <from>
                    <xdr:col>23</xdr:col>
                    <xdr:colOff>19050</xdr:colOff>
                    <xdr:row>165</xdr:row>
                    <xdr:rowOff>31750</xdr:rowOff>
                  </from>
                  <to>
                    <xdr:col>24</xdr:col>
                    <xdr:colOff>146050</xdr:colOff>
                    <xdr:row>167</xdr:row>
                    <xdr:rowOff>12700</xdr:rowOff>
                  </to>
                </anchor>
              </controlPr>
            </control>
          </mc:Choice>
        </mc:AlternateContent>
        <mc:AlternateContent xmlns:mc="http://schemas.openxmlformats.org/markup-compatibility/2006">
          <mc:Choice Requires="x14">
            <control shapeId="17470" r:id="rId66" name="Check Box 62">
              <controlPr defaultSize="0" autoFill="0" autoLine="0" autoPict="0">
                <anchor moveWithCells="1">
                  <from>
                    <xdr:col>6</xdr:col>
                    <xdr:colOff>31750</xdr:colOff>
                    <xdr:row>186</xdr:row>
                    <xdr:rowOff>0</xdr:rowOff>
                  </from>
                  <to>
                    <xdr:col>7</xdr:col>
                    <xdr:colOff>165100</xdr:colOff>
                    <xdr:row>187</xdr:row>
                    <xdr:rowOff>19050</xdr:rowOff>
                  </to>
                </anchor>
              </controlPr>
            </control>
          </mc:Choice>
        </mc:AlternateContent>
        <mc:AlternateContent xmlns:mc="http://schemas.openxmlformats.org/markup-compatibility/2006">
          <mc:Choice Requires="x14">
            <control shapeId="17471" r:id="rId67" name="Check Box 63">
              <controlPr defaultSize="0" autoFill="0" autoLine="0" autoPict="0">
                <anchor moveWithCells="1">
                  <from>
                    <xdr:col>13</xdr:col>
                    <xdr:colOff>19050</xdr:colOff>
                    <xdr:row>152</xdr:row>
                    <xdr:rowOff>184150</xdr:rowOff>
                  </from>
                  <to>
                    <xdr:col>14</xdr:col>
                    <xdr:colOff>146050</xdr:colOff>
                    <xdr:row>153</xdr:row>
                    <xdr:rowOff>190500</xdr:rowOff>
                  </to>
                </anchor>
              </controlPr>
            </control>
          </mc:Choice>
        </mc:AlternateContent>
        <mc:AlternateContent xmlns:mc="http://schemas.openxmlformats.org/markup-compatibility/2006">
          <mc:Choice Requires="x14">
            <control shapeId="17472" r:id="rId68" name="Check Box 64">
              <controlPr defaultSize="0" autoFill="0" autoLine="0" autoPict="0">
                <anchor moveWithCells="1">
                  <from>
                    <xdr:col>28</xdr:col>
                    <xdr:colOff>19050</xdr:colOff>
                    <xdr:row>152</xdr:row>
                    <xdr:rowOff>190500</xdr:rowOff>
                  </from>
                  <to>
                    <xdr:col>29</xdr:col>
                    <xdr:colOff>152400</xdr:colOff>
                    <xdr:row>154</xdr:row>
                    <xdr:rowOff>0</xdr:rowOff>
                  </to>
                </anchor>
              </controlPr>
            </control>
          </mc:Choice>
        </mc:AlternateContent>
        <mc:AlternateContent xmlns:mc="http://schemas.openxmlformats.org/markup-compatibility/2006">
          <mc:Choice Requires="x14">
            <control shapeId="17473" r:id="rId69" name="Check Box 65">
              <controlPr defaultSize="0" autoFill="0" autoLine="0" autoPict="0">
                <anchor moveWithCells="1">
                  <from>
                    <xdr:col>13</xdr:col>
                    <xdr:colOff>19050</xdr:colOff>
                    <xdr:row>153</xdr:row>
                    <xdr:rowOff>190500</xdr:rowOff>
                  </from>
                  <to>
                    <xdr:col>14</xdr:col>
                    <xdr:colOff>146050</xdr:colOff>
                    <xdr:row>155</xdr:row>
                    <xdr:rowOff>0</xdr:rowOff>
                  </to>
                </anchor>
              </controlPr>
            </control>
          </mc:Choice>
        </mc:AlternateContent>
        <mc:AlternateContent xmlns:mc="http://schemas.openxmlformats.org/markup-compatibility/2006">
          <mc:Choice Requires="x14">
            <control shapeId="17474" r:id="rId70" name="Check Box 66">
              <controlPr defaultSize="0" autoFill="0" autoLine="0" autoPict="0">
                <anchor moveWithCells="1">
                  <from>
                    <xdr:col>5</xdr:col>
                    <xdr:colOff>0</xdr:colOff>
                    <xdr:row>207</xdr:row>
                    <xdr:rowOff>0</xdr:rowOff>
                  </from>
                  <to>
                    <xdr:col>6</xdr:col>
                    <xdr:colOff>133350</xdr:colOff>
                    <xdr:row>208</xdr:row>
                    <xdr:rowOff>12700</xdr:rowOff>
                  </to>
                </anchor>
              </controlPr>
            </control>
          </mc:Choice>
        </mc:AlternateContent>
        <mc:AlternateContent xmlns:mc="http://schemas.openxmlformats.org/markup-compatibility/2006">
          <mc:Choice Requires="x14">
            <control shapeId="17475" r:id="rId71" name="Check Box 67">
              <controlPr defaultSize="0" autoFill="0" autoLine="0" autoPict="0">
                <anchor moveWithCells="1">
                  <from>
                    <xdr:col>5</xdr:col>
                    <xdr:colOff>0</xdr:colOff>
                    <xdr:row>208</xdr:row>
                    <xdr:rowOff>12700</xdr:rowOff>
                  </from>
                  <to>
                    <xdr:col>6</xdr:col>
                    <xdr:colOff>133350</xdr:colOff>
                    <xdr:row>209</xdr:row>
                    <xdr:rowOff>31750</xdr:rowOff>
                  </to>
                </anchor>
              </controlPr>
            </control>
          </mc:Choice>
        </mc:AlternateContent>
        <mc:AlternateContent xmlns:mc="http://schemas.openxmlformats.org/markup-compatibility/2006">
          <mc:Choice Requires="x14">
            <control shapeId="17476" r:id="rId72" name="Check Box 68">
              <controlPr defaultSize="0" autoFill="0" autoLine="0" autoPict="0">
                <anchor moveWithCells="1">
                  <from>
                    <xdr:col>24</xdr:col>
                    <xdr:colOff>31750</xdr:colOff>
                    <xdr:row>207</xdr:row>
                    <xdr:rowOff>0</xdr:rowOff>
                  </from>
                  <to>
                    <xdr:col>25</xdr:col>
                    <xdr:colOff>152400</xdr:colOff>
                    <xdr:row>208</xdr:row>
                    <xdr:rowOff>12700</xdr:rowOff>
                  </to>
                </anchor>
              </controlPr>
            </control>
          </mc:Choice>
        </mc:AlternateContent>
        <mc:AlternateContent xmlns:mc="http://schemas.openxmlformats.org/markup-compatibility/2006">
          <mc:Choice Requires="x14">
            <control shapeId="17477" r:id="rId73" name="Check Box 69">
              <controlPr defaultSize="0" autoFill="0" autoLine="0" autoPict="0">
                <anchor moveWithCells="1">
                  <from>
                    <xdr:col>24</xdr:col>
                    <xdr:colOff>19050</xdr:colOff>
                    <xdr:row>208</xdr:row>
                    <xdr:rowOff>0</xdr:rowOff>
                  </from>
                  <to>
                    <xdr:col>25</xdr:col>
                    <xdr:colOff>146050</xdr:colOff>
                    <xdr:row>209</xdr:row>
                    <xdr:rowOff>19050</xdr:rowOff>
                  </to>
                </anchor>
              </controlPr>
            </control>
          </mc:Choice>
        </mc:AlternateContent>
        <mc:AlternateContent xmlns:mc="http://schemas.openxmlformats.org/markup-compatibility/2006">
          <mc:Choice Requires="x14">
            <control shapeId="17478" r:id="rId74" name="Check Box 70">
              <controlPr defaultSize="0" autoFill="0" autoLine="0" autoPict="0">
                <anchor moveWithCells="1">
                  <from>
                    <xdr:col>17</xdr:col>
                    <xdr:colOff>19050</xdr:colOff>
                    <xdr:row>207</xdr:row>
                    <xdr:rowOff>0</xdr:rowOff>
                  </from>
                  <to>
                    <xdr:col>18</xdr:col>
                    <xdr:colOff>146050</xdr:colOff>
                    <xdr:row>208</xdr:row>
                    <xdr:rowOff>12700</xdr:rowOff>
                  </to>
                </anchor>
              </controlPr>
            </control>
          </mc:Choice>
        </mc:AlternateContent>
        <mc:AlternateContent xmlns:mc="http://schemas.openxmlformats.org/markup-compatibility/2006">
          <mc:Choice Requires="x14">
            <control shapeId="17479" r:id="rId75" name="Check Box 71">
              <controlPr defaultSize="0" autoFill="0" autoLine="0" autoPict="0">
                <anchor moveWithCells="1">
                  <from>
                    <xdr:col>5</xdr:col>
                    <xdr:colOff>0</xdr:colOff>
                    <xdr:row>221</xdr:row>
                    <xdr:rowOff>12700</xdr:rowOff>
                  </from>
                  <to>
                    <xdr:col>6</xdr:col>
                    <xdr:colOff>133350</xdr:colOff>
                    <xdr:row>222</xdr:row>
                    <xdr:rowOff>31750</xdr:rowOff>
                  </to>
                </anchor>
              </controlPr>
            </control>
          </mc:Choice>
        </mc:AlternateContent>
        <mc:AlternateContent xmlns:mc="http://schemas.openxmlformats.org/markup-compatibility/2006">
          <mc:Choice Requires="x14">
            <control shapeId="17480" r:id="rId76" name="Check Box 72">
              <controlPr defaultSize="0" autoFill="0" autoLine="0" autoPict="0">
                <anchor moveWithCells="1">
                  <from>
                    <xdr:col>5</xdr:col>
                    <xdr:colOff>0</xdr:colOff>
                    <xdr:row>222</xdr:row>
                    <xdr:rowOff>19050</xdr:rowOff>
                  </from>
                  <to>
                    <xdr:col>6</xdr:col>
                    <xdr:colOff>133350</xdr:colOff>
                    <xdr:row>223</xdr:row>
                    <xdr:rowOff>38100</xdr:rowOff>
                  </to>
                </anchor>
              </controlPr>
            </control>
          </mc:Choice>
        </mc:AlternateContent>
        <mc:AlternateContent xmlns:mc="http://schemas.openxmlformats.org/markup-compatibility/2006">
          <mc:Choice Requires="x14">
            <control shapeId="17481" r:id="rId77" name="Check Box 73">
              <controlPr defaultSize="0" autoFill="0" autoLine="0" autoPict="0">
                <anchor moveWithCells="1">
                  <from>
                    <xdr:col>5</xdr:col>
                    <xdr:colOff>0</xdr:colOff>
                    <xdr:row>223</xdr:row>
                    <xdr:rowOff>19050</xdr:rowOff>
                  </from>
                  <to>
                    <xdr:col>6</xdr:col>
                    <xdr:colOff>133350</xdr:colOff>
                    <xdr:row>224</xdr:row>
                    <xdr:rowOff>38100</xdr:rowOff>
                  </to>
                </anchor>
              </controlPr>
            </control>
          </mc:Choice>
        </mc:AlternateContent>
        <mc:AlternateContent xmlns:mc="http://schemas.openxmlformats.org/markup-compatibility/2006">
          <mc:Choice Requires="x14">
            <control shapeId="17482" r:id="rId78" name="Check Box 74">
              <controlPr defaultSize="0" autoFill="0" autoLine="0" autoPict="0">
                <anchor moveWithCells="1">
                  <from>
                    <xdr:col>5</xdr:col>
                    <xdr:colOff>0</xdr:colOff>
                    <xdr:row>224</xdr:row>
                    <xdr:rowOff>19050</xdr:rowOff>
                  </from>
                  <to>
                    <xdr:col>6</xdr:col>
                    <xdr:colOff>133350</xdr:colOff>
                    <xdr:row>225</xdr:row>
                    <xdr:rowOff>38100</xdr:rowOff>
                  </to>
                </anchor>
              </controlPr>
            </control>
          </mc:Choice>
        </mc:AlternateContent>
        <mc:AlternateContent xmlns:mc="http://schemas.openxmlformats.org/markup-compatibility/2006">
          <mc:Choice Requires="x14">
            <control shapeId="17483" r:id="rId79" name="Check Box 75">
              <controlPr defaultSize="0" autoFill="0" autoLine="0" autoPict="0">
                <anchor moveWithCells="1">
                  <from>
                    <xdr:col>5</xdr:col>
                    <xdr:colOff>0</xdr:colOff>
                    <xdr:row>225</xdr:row>
                    <xdr:rowOff>19050</xdr:rowOff>
                  </from>
                  <to>
                    <xdr:col>6</xdr:col>
                    <xdr:colOff>133350</xdr:colOff>
                    <xdr:row>226</xdr:row>
                    <xdr:rowOff>38100</xdr:rowOff>
                  </to>
                </anchor>
              </controlPr>
            </control>
          </mc:Choice>
        </mc:AlternateContent>
        <mc:AlternateContent xmlns:mc="http://schemas.openxmlformats.org/markup-compatibility/2006">
          <mc:Choice Requires="x14">
            <control shapeId="17484" r:id="rId80" name="Check Box 76">
              <controlPr defaultSize="0" autoFill="0" autoLine="0" autoPict="0">
                <anchor moveWithCells="1">
                  <from>
                    <xdr:col>5</xdr:col>
                    <xdr:colOff>0</xdr:colOff>
                    <xdr:row>226</xdr:row>
                    <xdr:rowOff>19050</xdr:rowOff>
                  </from>
                  <to>
                    <xdr:col>6</xdr:col>
                    <xdr:colOff>133350</xdr:colOff>
                    <xdr:row>227</xdr:row>
                    <xdr:rowOff>38100</xdr:rowOff>
                  </to>
                </anchor>
              </controlPr>
            </control>
          </mc:Choice>
        </mc:AlternateContent>
        <mc:AlternateContent xmlns:mc="http://schemas.openxmlformats.org/markup-compatibility/2006">
          <mc:Choice Requires="x14">
            <control shapeId="17485" r:id="rId81" name="Check Box 77">
              <controlPr defaultSize="0" autoFill="0" autoLine="0" autoPict="0">
                <anchor moveWithCells="1">
                  <from>
                    <xdr:col>5</xdr:col>
                    <xdr:colOff>0</xdr:colOff>
                    <xdr:row>227</xdr:row>
                    <xdr:rowOff>19050</xdr:rowOff>
                  </from>
                  <to>
                    <xdr:col>6</xdr:col>
                    <xdr:colOff>133350</xdr:colOff>
                    <xdr:row>228</xdr:row>
                    <xdr:rowOff>38100</xdr:rowOff>
                  </to>
                </anchor>
              </controlPr>
            </control>
          </mc:Choice>
        </mc:AlternateContent>
        <mc:AlternateContent xmlns:mc="http://schemas.openxmlformats.org/markup-compatibility/2006">
          <mc:Choice Requires="x14">
            <control shapeId="17486" r:id="rId82" name="Check Box 78">
              <controlPr defaultSize="0" autoFill="0" autoLine="0" autoPict="0">
                <anchor moveWithCells="1">
                  <from>
                    <xdr:col>5</xdr:col>
                    <xdr:colOff>0</xdr:colOff>
                    <xdr:row>228</xdr:row>
                    <xdr:rowOff>12700</xdr:rowOff>
                  </from>
                  <to>
                    <xdr:col>6</xdr:col>
                    <xdr:colOff>133350</xdr:colOff>
                    <xdr:row>229</xdr:row>
                    <xdr:rowOff>31750</xdr:rowOff>
                  </to>
                </anchor>
              </controlPr>
            </control>
          </mc:Choice>
        </mc:AlternateContent>
        <mc:AlternateContent xmlns:mc="http://schemas.openxmlformats.org/markup-compatibility/2006">
          <mc:Choice Requires="x14">
            <control shapeId="17487" r:id="rId83" name="Check Box 79">
              <controlPr defaultSize="0" autoFill="0" autoLine="0" autoPict="0">
                <anchor moveWithCells="1">
                  <from>
                    <xdr:col>5</xdr:col>
                    <xdr:colOff>0</xdr:colOff>
                    <xdr:row>229</xdr:row>
                    <xdr:rowOff>12700</xdr:rowOff>
                  </from>
                  <to>
                    <xdr:col>6</xdr:col>
                    <xdr:colOff>133350</xdr:colOff>
                    <xdr:row>230</xdr:row>
                    <xdr:rowOff>31750</xdr:rowOff>
                  </to>
                </anchor>
              </controlPr>
            </control>
          </mc:Choice>
        </mc:AlternateContent>
        <mc:AlternateContent xmlns:mc="http://schemas.openxmlformats.org/markup-compatibility/2006">
          <mc:Choice Requires="x14">
            <control shapeId="17488" r:id="rId84" name="Check Box 80">
              <controlPr defaultSize="0" autoFill="0" autoLine="0" autoPict="0">
                <anchor moveWithCells="1">
                  <from>
                    <xdr:col>4</xdr:col>
                    <xdr:colOff>165100</xdr:colOff>
                    <xdr:row>319</xdr:row>
                    <xdr:rowOff>57150</xdr:rowOff>
                  </from>
                  <to>
                    <xdr:col>6</xdr:col>
                    <xdr:colOff>114300</xdr:colOff>
                    <xdr:row>321</xdr:row>
                    <xdr:rowOff>0</xdr:rowOff>
                  </to>
                </anchor>
              </controlPr>
            </control>
          </mc:Choice>
        </mc:AlternateContent>
        <mc:AlternateContent xmlns:mc="http://schemas.openxmlformats.org/markup-compatibility/2006">
          <mc:Choice Requires="x14">
            <control shapeId="17489" r:id="rId85" name="Check Box 81">
              <controlPr defaultSize="0" autoFill="0" autoLine="0" autoPict="0">
                <anchor moveWithCells="1">
                  <from>
                    <xdr:col>4</xdr:col>
                    <xdr:colOff>165100</xdr:colOff>
                    <xdr:row>322</xdr:row>
                    <xdr:rowOff>12700</xdr:rowOff>
                  </from>
                  <to>
                    <xdr:col>6</xdr:col>
                    <xdr:colOff>114300</xdr:colOff>
                    <xdr:row>323</xdr:row>
                    <xdr:rowOff>31750</xdr:rowOff>
                  </to>
                </anchor>
              </controlPr>
            </control>
          </mc:Choice>
        </mc:AlternateContent>
        <mc:AlternateContent xmlns:mc="http://schemas.openxmlformats.org/markup-compatibility/2006">
          <mc:Choice Requires="x14">
            <control shapeId="17490" r:id="rId86" name="Check Box 82">
              <controlPr defaultSize="0" autoFill="0" autoLine="0" autoPict="0">
                <anchor moveWithCells="1">
                  <from>
                    <xdr:col>17</xdr:col>
                    <xdr:colOff>12700</xdr:colOff>
                    <xdr:row>320</xdr:row>
                    <xdr:rowOff>0</xdr:rowOff>
                  </from>
                  <to>
                    <xdr:col>18</xdr:col>
                    <xdr:colOff>133350</xdr:colOff>
                    <xdr:row>321</xdr:row>
                    <xdr:rowOff>19050</xdr:rowOff>
                  </to>
                </anchor>
              </controlPr>
            </control>
          </mc:Choice>
        </mc:AlternateContent>
        <mc:AlternateContent xmlns:mc="http://schemas.openxmlformats.org/markup-compatibility/2006">
          <mc:Choice Requires="x14">
            <control shapeId="17491" r:id="rId87" name="Check Box 83">
              <controlPr defaultSize="0" autoFill="0" autoLine="0" autoPict="0">
                <anchor moveWithCells="1">
                  <from>
                    <xdr:col>17</xdr:col>
                    <xdr:colOff>12700</xdr:colOff>
                    <xdr:row>321</xdr:row>
                    <xdr:rowOff>31750</xdr:rowOff>
                  </from>
                  <to>
                    <xdr:col>18</xdr:col>
                    <xdr:colOff>133350</xdr:colOff>
                    <xdr:row>323</xdr:row>
                    <xdr:rowOff>12700</xdr:rowOff>
                  </to>
                </anchor>
              </controlPr>
            </control>
          </mc:Choice>
        </mc:AlternateContent>
        <mc:AlternateContent xmlns:mc="http://schemas.openxmlformats.org/markup-compatibility/2006">
          <mc:Choice Requires="x14">
            <control shapeId="17492" r:id="rId88" name="Check Box 84">
              <controlPr defaultSize="0" autoFill="0" autoLine="0" autoPict="0">
                <anchor moveWithCells="1">
                  <from>
                    <xdr:col>17</xdr:col>
                    <xdr:colOff>12700</xdr:colOff>
                    <xdr:row>320</xdr:row>
                    <xdr:rowOff>0</xdr:rowOff>
                  </from>
                  <to>
                    <xdr:col>18</xdr:col>
                    <xdr:colOff>133350</xdr:colOff>
                    <xdr:row>321</xdr:row>
                    <xdr:rowOff>19050</xdr:rowOff>
                  </to>
                </anchor>
              </controlPr>
            </control>
          </mc:Choice>
        </mc:AlternateContent>
        <mc:AlternateContent xmlns:mc="http://schemas.openxmlformats.org/markup-compatibility/2006">
          <mc:Choice Requires="x14">
            <control shapeId="17493" r:id="rId89" name="Check Box 85">
              <controlPr defaultSize="0" autoFill="0" autoLine="0" autoPict="0">
                <anchor moveWithCells="1">
                  <from>
                    <xdr:col>27</xdr:col>
                    <xdr:colOff>19050</xdr:colOff>
                    <xdr:row>175</xdr:row>
                    <xdr:rowOff>12700</xdr:rowOff>
                  </from>
                  <to>
                    <xdr:col>28</xdr:col>
                    <xdr:colOff>146050</xdr:colOff>
                    <xdr:row>176</xdr:row>
                    <xdr:rowOff>31750</xdr:rowOff>
                  </to>
                </anchor>
              </controlPr>
            </control>
          </mc:Choice>
        </mc:AlternateContent>
        <mc:AlternateContent xmlns:mc="http://schemas.openxmlformats.org/markup-compatibility/2006">
          <mc:Choice Requires="x14">
            <control shapeId="17494" r:id="rId90" name="Check Box 86">
              <controlPr defaultSize="0" autoFill="0" autoLine="0" autoPict="0">
                <anchor moveWithCells="1">
                  <from>
                    <xdr:col>26</xdr:col>
                    <xdr:colOff>19050</xdr:colOff>
                    <xdr:row>320</xdr:row>
                    <xdr:rowOff>0</xdr:rowOff>
                  </from>
                  <to>
                    <xdr:col>27</xdr:col>
                    <xdr:colOff>146050</xdr:colOff>
                    <xdr:row>321</xdr:row>
                    <xdr:rowOff>19050</xdr:rowOff>
                  </to>
                </anchor>
              </controlPr>
            </control>
          </mc:Choice>
        </mc:AlternateContent>
        <mc:AlternateContent xmlns:mc="http://schemas.openxmlformats.org/markup-compatibility/2006">
          <mc:Choice Requires="x14">
            <control shapeId="17495" r:id="rId91" name="Check Box 87">
              <controlPr defaultSize="0" autoFill="0" autoLine="0" autoPict="0">
                <anchor moveWithCells="1">
                  <from>
                    <xdr:col>25</xdr:col>
                    <xdr:colOff>19050</xdr:colOff>
                    <xdr:row>163</xdr:row>
                    <xdr:rowOff>0</xdr:rowOff>
                  </from>
                  <to>
                    <xdr:col>26</xdr:col>
                    <xdr:colOff>152400</xdr:colOff>
                    <xdr:row>164</xdr:row>
                    <xdr:rowOff>19050</xdr:rowOff>
                  </to>
                </anchor>
              </controlPr>
            </control>
          </mc:Choice>
        </mc:AlternateContent>
        <mc:AlternateContent xmlns:mc="http://schemas.openxmlformats.org/markup-compatibility/2006">
          <mc:Choice Requires="x14">
            <control shapeId="17496" r:id="rId92" name="Check Box 88">
              <controlPr defaultSize="0" autoFill="0" autoLine="0" autoPict="0">
                <anchor moveWithCells="1">
                  <from>
                    <xdr:col>35</xdr:col>
                    <xdr:colOff>19050</xdr:colOff>
                    <xdr:row>163</xdr:row>
                    <xdr:rowOff>0</xdr:rowOff>
                  </from>
                  <to>
                    <xdr:col>36</xdr:col>
                    <xdr:colOff>152400</xdr:colOff>
                    <xdr:row>164</xdr:row>
                    <xdr:rowOff>19050</xdr:rowOff>
                  </to>
                </anchor>
              </controlPr>
            </control>
          </mc:Choice>
        </mc:AlternateContent>
        <mc:AlternateContent xmlns:mc="http://schemas.openxmlformats.org/markup-compatibility/2006">
          <mc:Choice Requires="x14">
            <control shapeId="17497" r:id="rId93" name="Check Box 89">
              <controlPr defaultSize="0" autoFill="0" autoLine="0" autoPict="0">
                <anchor moveWithCells="1">
                  <from>
                    <xdr:col>21</xdr:col>
                    <xdr:colOff>31750</xdr:colOff>
                    <xdr:row>153</xdr:row>
                    <xdr:rowOff>190500</xdr:rowOff>
                  </from>
                  <to>
                    <xdr:col>22</xdr:col>
                    <xdr:colOff>165100</xdr:colOff>
                    <xdr:row>155</xdr:row>
                    <xdr:rowOff>0</xdr:rowOff>
                  </to>
                </anchor>
              </controlPr>
            </control>
          </mc:Choice>
        </mc:AlternateContent>
        <mc:AlternateContent xmlns:mc="http://schemas.openxmlformats.org/markup-compatibility/2006">
          <mc:Choice Requires="x14">
            <control shapeId="17498" r:id="rId94" name="Check Box 90">
              <controlPr defaultSize="0" autoFill="0" autoLine="0" autoPict="0">
                <anchor moveWithCells="1">
                  <from>
                    <xdr:col>20</xdr:col>
                    <xdr:colOff>31750</xdr:colOff>
                    <xdr:row>191</xdr:row>
                    <xdr:rowOff>69850</xdr:rowOff>
                  </from>
                  <to>
                    <xdr:col>21</xdr:col>
                    <xdr:colOff>152400</xdr:colOff>
                    <xdr:row>193</xdr:row>
                    <xdr:rowOff>12700</xdr:rowOff>
                  </to>
                </anchor>
              </controlPr>
            </control>
          </mc:Choice>
        </mc:AlternateContent>
        <mc:AlternateContent xmlns:mc="http://schemas.openxmlformats.org/markup-compatibility/2006">
          <mc:Choice Requires="x14">
            <control shapeId="17499" r:id="rId95" name="Check Box 91">
              <controlPr defaultSize="0" autoFill="0" autoLine="0" autoPict="0">
                <anchor moveWithCells="1">
                  <from>
                    <xdr:col>3</xdr:col>
                    <xdr:colOff>0</xdr:colOff>
                    <xdr:row>65</xdr:row>
                    <xdr:rowOff>31750</xdr:rowOff>
                  </from>
                  <to>
                    <xdr:col>4</xdr:col>
                    <xdr:colOff>133350</xdr:colOff>
                    <xdr:row>67</xdr:row>
                    <xdr:rowOff>69850</xdr:rowOff>
                  </to>
                </anchor>
              </controlPr>
            </control>
          </mc:Choice>
        </mc:AlternateContent>
        <mc:AlternateContent xmlns:mc="http://schemas.openxmlformats.org/markup-compatibility/2006">
          <mc:Choice Requires="x14">
            <control shapeId="17500" r:id="rId96" name="Check Box 92">
              <controlPr defaultSize="0" autoFill="0" autoLine="0" autoPict="0">
                <anchor moveWithCells="1">
                  <from>
                    <xdr:col>3</xdr:col>
                    <xdr:colOff>0</xdr:colOff>
                    <xdr:row>66</xdr:row>
                    <xdr:rowOff>146050</xdr:rowOff>
                  </from>
                  <to>
                    <xdr:col>4</xdr:col>
                    <xdr:colOff>133350</xdr:colOff>
                    <xdr:row>68</xdr:row>
                    <xdr:rowOff>69850</xdr:rowOff>
                  </to>
                </anchor>
              </controlPr>
            </control>
          </mc:Choice>
        </mc:AlternateContent>
        <mc:AlternateContent xmlns:mc="http://schemas.openxmlformats.org/markup-compatibility/2006">
          <mc:Choice Requires="x14">
            <control shapeId="17501" r:id="rId97" name="Check Box 93">
              <controlPr defaultSize="0" autoFill="0" autoLine="0" autoPict="0">
                <anchor moveWithCells="1">
                  <from>
                    <xdr:col>3</xdr:col>
                    <xdr:colOff>0</xdr:colOff>
                    <xdr:row>67</xdr:row>
                    <xdr:rowOff>146050</xdr:rowOff>
                  </from>
                  <to>
                    <xdr:col>4</xdr:col>
                    <xdr:colOff>133350</xdr:colOff>
                    <xdr:row>69</xdr:row>
                    <xdr:rowOff>69850</xdr:rowOff>
                  </to>
                </anchor>
              </controlPr>
            </control>
          </mc:Choice>
        </mc:AlternateContent>
        <mc:AlternateContent xmlns:mc="http://schemas.openxmlformats.org/markup-compatibility/2006">
          <mc:Choice Requires="x14">
            <control shapeId="17502" r:id="rId98" name="Check Box 94">
              <controlPr defaultSize="0" autoFill="0" autoLine="0" autoPict="0">
                <anchor moveWithCells="1">
                  <from>
                    <xdr:col>3</xdr:col>
                    <xdr:colOff>0</xdr:colOff>
                    <xdr:row>68</xdr:row>
                    <xdr:rowOff>146050</xdr:rowOff>
                  </from>
                  <to>
                    <xdr:col>4</xdr:col>
                    <xdr:colOff>133350</xdr:colOff>
                    <xdr:row>70</xdr:row>
                    <xdr:rowOff>69850</xdr:rowOff>
                  </to>
                </anchor>
              </controlPr>
            </control>
          </mc:Choice>
        </mc:AlternateContent>
        <mc:AlternateContent xmlns:mc="http://schemas.openxmlformats.org/markup-compatibility/2006">
          <mc:Choice Requires="x14">
            <control shapeId="17503" r:id="rId99" name="Check Box 95">
              <controlPr defaultSize="0" autoFill="0" autoLine="0" autoPict="0">
                <anchor moveWithCells="1">
                  <from>
                    <xdr:col>3</xdr:col>
                    <xdr:colOff>0</xdr:colOff>
                    <xdr:row>69</xdr:row>
                    <xdr:rowOff>146050</xdr:rowOff>
                  </from>
                  <to>
                    <xdr:col>4</xdr:col>
                    <xdr:colOff>133350</xdr:colOff>
                    <xdr:row>71</xdr:row>
                    <xdr:rowOff>69850</xdr:rowOff>
                  </to>
                </anchor>
              </controlPr>
            </control>
          </mc:Choice>
        </mc:AlternateContent>
        <mc:AlternateContent xmlns:mc="http://schemas.openxmlformats.org/markup-compatibility/2006">
          <mc:Choice Requires="x14">
            <control shapeId="17504" r:id="rId100" name="Check Box 96">
              <controlPr defaultSize="0" autoFill="0" autoLine="0" autoPict="0">
                <anchor moveWithCells="1">
                  <from>
                    <xdr:col>3</xdr:col>
                    <xdr:colOff>0</xdr:colOff>
                    <xdr:row>70</xdr:row>
                    <xdr:rowOff>146050</xdr:rowOff>
                  </from>
                  <to>
                    <xdr:col>4</xdr:col>
                    <xdr:colOff>133350</xdr:colOff>
                    <xdr:row>72</xdr:row>
                    <xdr:rowOff>69850</xdr:rowOff>
                  </to>
                </anchor>
              </controlPr>
            </control>
          </mc:Choice>
        </mc:AlternateContent>
        <mc:AlternateContent xmlns:mc="http://schemas.openxmlformats.org/markup-compatibility/2006">
          <mc:Choice Requires="x14">
            <control shapeId="17505" r:id="rId101" name="Check Box 97">
              <controlPr defaultSize="0" autoFill="0" autoLine="0" autoPict="0">
                <anchor moveWithCells="1">
                  <from>
                    <xdr:col>4</xdr:col>
                    <xdr:colOff>152400</xdr:colOff>
                    <xdr:row>77</xdr:row>
                    <xdr:rowOff>50800</xdr:rowOff>
                  </from>
                  <to>
                    <xdr:col>6</xdr:col>
                    <xdr:colOff>114300</xdr:colOff>
                    <xdr:row>79</xdr:row>
                    <xdr:rowOff>88900</xdr:rowOff>
                  </to>
                </anchor>
              </controlPr>
            </control>
          </mc:Choice>
        </mc:AlternateContent>
        <mc:AlternateContent xmlns:mc="http://schemas.openxmlformats.org/markup-compatibility/2006">
          <mc:Choice Requires="x14">
            <control shapeId="17506" r:id="rId102" name="Check Box 98">
              <controlPr defaultSize="0" autoFill="0" autoLine="0" autoPict="0">
                <anchor moveWithCells="1">
                  <from>
                    <xdr:col>4</xdr:col>
                    <xdr:colOff>152400</xdr:colOff>
                    <xdr:row>78</xdr:row>
                    <xdr:rowOff>165100</xdr:rowOff>
                  </from>
                  <to>
                    <xdr:col>6</xdr:col>
                    <xdr:colOff>114300</xdr:colOff>
                    <xdr:row>80</xdr:row>
                    <xdr:rowOff>88900</xdr:rowOff>
                  </to>
                </anchor>
              </controlPr>
            </control>
          </mc:Choice>
        </mc:AlternateContent>
        <mc:AlternateContent xmlns:mc="http://schemas.openxmlformats.org/markup-compatibility/2006">
          <mc:Choice Requires="x14">
            <control shapeId="17507" r:id="rId103" name="Check Box 99">
              <controlPr defaultSize="0" autoFill="0" autoLine="0" autoPict="0">
                <anchor moveWithCells="1">
                  <from>
                    <xdr:col>4</xdr:col>
                    <xdr:colOff>152400</xdr:colOff>
                    <xdr:row>79</xdr:row>
                    <xdr:rowOff>165100</xdr:rowOff>
                  </from>
                  <to>
                    <xdr:col>6</xdr:col>
                    <xdr:colOff>114300</xdr:colOff>
                    <xdr:row>81</xdr:row>
                    <xdr:rowOff>88900</xdr:rowOff>
                  </to>
                </anchor>
              </controlPr>
            </control>
          </mc:Choice>
        </mc:AlternateContent>
        <mc:AlternateContent xmlns:mc="http://schemas.openxmlformats.org/markup-compatibility/2006">
          <mc:Choice Requires="x14">
            <control shapeId="17508" r:id="rId104" name="Check Box 100">
              <controlPr defaultSize="0" autoFill="0" autoLine="0" autoPict="0">
                <anchor moveWithCells="1">
                  <from>
                    <xdr:col>4</xdr:col>
                    <xdr:colOff>152400</xdr:colOff>
                    <xdr:row>80</xdr:row>
                    <xdr:rowOff>152400</xdr:rowOff>
                  </from>
                  <to>
                    <xdr:col>6</xdr:col>
                    <xdr:colOff>114300</xdr:colOff>
                    <xdr:row>83</xdr:row>
                    <xdr:rowOff>0</xdr:rowOff>
                  </to>
                </anchor>
              </controlPr>
            </control>
          </mc:Choice>
        </mc:AlternateContent>
        <mc:AlternateContent xmlns:mc="http://schemas.openxmlformats.org/markup-compatibility/2006">
          <mc:Choice Requires="x14">
            <control shapeId="17509" r:id="rId105" name="Check Box 101">
              <controlPr defaultSize="0" autoFill="0" autoLine="0" autoPict="0">
                <anchor moveWithCells="1">
                  <from>
                    <xdr:col>5</xdr:col>
                    <xdr:colOff>165100</xdr:colOff>
                    <xdr:row>82</xdr:row>
                    <xdr:rowOff>38100</xdr:rowOff>
                  </from>
                  <to>
                    <xdr:col>7</xdr:col>
                    <xdr:colOff>127000</xdr:colOff>
                    <xdr:row>84</xdr:row>
                    <xdr:rowOff>76200</xdr:rowOff>
                  </to>
                </anchor>
              </controlPr>
            </control>
          </mc:Choice>
        </mc:AlternateContent>
        <mc:AlternateContent xmlns:mc="http://schemas.openxmlformats.org/markup-compatibility/2006">
          <mc:Choice Requires="x14">
            <control shapeId="17510" r:id="rId106" name="Check Box 102">
              <controlPr defaultSize="0" autoFill="0" autoLine="0" autoPict="0">
                <anchor moveWithCells="1">
                  <from>
                    <xdr:col>5</xdr:col>
                    <xdr:colOff>165100</xdr:colOff>
                    <xdr:row>83</xdr:row>
                    <xdr:rowOff>165100</xdr:rowOff>
                  </from>
                  <to>
                    <xdr:col>7</xdr:col>
                    <xdr:colOff>127000</xdr:colOff>
                    <xdr:row>85</xdr:row>
                    <xdr:rowOff>88900</xdr:rowOff>
                  </to>
                </anchor>
              </controlPr>
            </control>
          </mc:Choice>
        </mc:AlternateContent>
        <mc:AlternateContent xmlns:mc="http://schemas.openxmlformats.org/markup-compatibility/2006">
          <mc:Choice Requires="x14">
            <control shapeId="17511" r:id="rId107" name="Check Box 103">
              <controlPr defaultSize="0" autoFill="0" autoLine="0" autoPict="0">
                <anchor moveWithCells="1">
                  <from>
                    <xdr:col>4</xdr:col>
                    <xdr:colOff>152400</xdr:colOff>
                    <xdr:row>87</xdr:row>
                    <xdr:rowOff>50800</xdr:rowOff>
                  </from>
                  <to>
                    <xdr:col>6</xdr:col>
                    <xdr:colOff>114300</xdr:colOff>
                    <xdr:row>89</xdr:row>
                    <xdr:rowOff>95250</xdr:rowOff>
                  </to>
                </anchor>
              </controlPr>
            </control>
          </mc:Choice>
        </mc:AlternateContent>
        <mc:AlternateContent xmlns:mc="http://schemas.openxmlformats.org/markup-compatibility/2006">
          <mc:Choice Requires="x14">
            <control shapeId="17512" r:id="rId108" name="Check Box 104">
              <controlPr defaultSize="0" autoFill="0" autoLine="0" autoPict="0">
                <anchor moveWithCells="1">
                  <from>
                    <xdr:col>4</xdr:col>
                    <xdr:colOff>152400</xdr:colOff>
                    <xdr:row>88</xdr:row>
                    <xdr:rowOff>171450</xdr:rowOff>
                  </from>
                  <to>
                    <xdr:col>6</xdr:col>
                    <xdr:colOff>114300</xdr:colOff>
                    <xdr:row>90</xdr:row>
                    <xdr:rowOff>95250</xdr:rowOff>
                  </to>
                </anchor>
              </controlPr>
            </control>
          </mc:Choice>
        </mc:AlternateContent>
        <mc:AlternateContent xmlns:mc="http://schemas.openxmlformats.org/markup-compatibility/2006">
          <mc:Choice Requires="x14">
            <control shapeId="17513" r:id="rId109" name="Check Box 105">
              <controlPr defaultSize="0" autoFill="0" autoLine="0" autoPict="0">
                <anchor moveWithCells="1">
                  <from>
                    <xdr:col>4</xdr:col>
                    <xdr:colOff>152400</xdr:colOff>
                    <xdr:row>89</xdr:row>
                    <xdr:rowOff>171450</xdr:rowOff>
                  </from>
                  <to>
                    <xdr:col>6</xdr:col>
                    <xdr:colOff>114300</xdr:colOff>
                    <xdr:row>91</xdr:row>
                    <xdr:rowOff>95250</xdr:rowOff>
                  </to>
                </anchor>
              </controlPr>
            </control>
          </mc:Choice>
        </mc:AlternateContent>
        <mc:AlternateContent xmlns:mc="http://schemas.openxmlformats.org/markup-compatibility/2006">
          <mc:Choice Requires="x14">
            <control shapeId="17514" r:id="rId110" name="Check Box 106">
              <controlPr defaultSize="0" autoFill="0" autoLine="0" autoPict="0">
                <anchor moveWithCells="1">
                  <from>
                    <xdr:col>4</xdr:col>
                    <xdr:colOff>152400</xdr:colOff>
                    <xdr:row>95</xdr:row>
                    <xdr:rowOff>57150</xdr:rowOff>
                  </from>
                  <to>
                    <xdr:col>6</xdr:col>
                    <xdr:colOff>114300</xdr:colOff>
                    <xdr:row>97</xdr:row>
                    <xdr:rowOff>107950</xdr:rowOff>
                  </to>
                </anchor>
              </controlPr>
            </control>
          </mc:Choice>
        </mc:AlternateContent>
        <mc:AlternateContent xmlns:mc="http://schemas.openxmlformats.org/markup-compatibility/2006">
          <mc:Choice Requires="x14">
            <control shapeId="17515" r:id="rId111" name="Check Box 107">
              <controlPr defaultSize="0" autoFill="0" autoLine="0" autoPict="0">
                <anchor moveWithCells="1">
                  <from>
                    <xdr:col>4</xdr:col>
                    <xdr:colOff>152400</xdr:colOff>
                    <xdr:row>96</xdr:row>
                    <xdr:rowOff>171450</xdr:rowOff>
                  </from>
                  <to>
                    <xdr:col>6</xdr:col>
                    <xdr:colOff>114300</xdr:colOff>
                    <xdr:row>98</xdr:row>
                    <xdr:rowOff>95250</xdr:rowOff>
                  </to>
                </anchor>
              </controlPr>
            </control>
          </mc:Choice>
        </mc:AlternateContent>
        <mc:AlternateContent xmlns:mc="http://schemas.openxmlformats.org/markup-compatibility/2006">
          <mc:Choice Requires="x14">
            <control shapeId="17516" r:id="rId112" name="Check Box 108">
              <controlPr defaultSize="0" autoFill="0" autoLine="0" autoPict="0">
                <anchor moveWithCells="1">
                  <from>
                    <xdr:col>4</xdr:col>
                    <xdr:colOff>152400</xdr:colOff>
                    <xdr:row>97</xdr:row>
                    <xdr:rowOff>171450</xdr:rowOff>
                  </from>
                  <to>
                    <xdr:col>6</xdr:col>
                    <xdr:colOff>114300</xdr:colOff>
                    <xdr:row>99</xdr:row>
                    <xdr:rowOff>95250</xdr:rowOff>
                  </to>
                </anchor>
              </controlPr>
            </control>
          </mc:Choice>
        </mc:AlternateContent>
        <mc:AlternateContent xmlns:mc="http://schemas.openxmlformats.org/markup-compatibility/2006">
          <mc:Choice Requires="x14">
            <control shapeId="17517" r:id="rId113" name="Check Box 109">
              <controlPr defaultSize="0" autoFill="0" autoLine="0" autoPict="0">
                <anchor moveWithCells="1">
                  <from>
                    <xdr:col>4</xdr:col>
                    <xdr:colOff>152400</xdr:colOff>
                    <xdr:row>98</xdr:row>
                    <xdr:rowOff>171450</xdr:rowOff>
                  </from>
                  <to>
                    <xdr:col>6</xdr:col>
                    <xdr:colOff>114300</xdr:colOff>
                    <xdr:row>100</xdr:row>
                    <xdr:rowOff>95250</xdr:rowOff>
                  </to>
                </anchor>
              </controlPr>
            </control>
          </mc:Choice>
        </mc:AlternateContent>
        <mc:AlternateContent xmlns:mc="http://schemas.openxmlformats.org/markup-compatibility/2006">
          <mc:Choice Requires="x14">
            <control shapeId="17518" r:id="rId114" name="Check Box 110">
              <controlPr defaultSize="0" autoFill="0" autoLine="0" autoPict="0">
                <anchor moveWithCells="1">
                  <from>
                    <xdr:col>4</xdr:col>
                    <xdr:colOff>152400</xdr:colOff>
                    <xdr:row>104</xdr:row>
                    <xdr:rowOff>31750</xdr:rowOff>
                  </from>
                  <to>
                    <xdr:col>6</xdr:col>
                    <xdr:colOff>114300</xdr:colOff>
                    <xdr:row>106</xdr:row>
                    <xdr:rowOff>69850</xdr:rowOff>
                  </to>
                </anchor>
              </controlPr>
            </control>
          </mc:Choice>
        </mc:AlternateContent>
        <mc:AlternateContent xmlns:mc="http://schemas.openxmlformats.org/markup-compatibility/2006">
          <mc:Choice Requires="x14">
            <control shapeId="17519" r:id="rId115" name="Check Box 111">
              <controlPr defaultSize="0" autoFill="0" autoLine="0" autoPict="0">
                <anchor moveWithCells="1">
                  <from>
                    <xdr:col>4</xdr:col>
                    <xdr:colOff>152400</xdr:colOff>
                    <xdr:row>105</xdr:row>
                    <xdr:rowOff>133350</xdr:rowOff>
                  </from>
                  <to>
                    <xdr:col>6</xdr:col>
                    <xdr:colOff>114300</xdr:colOff>
                    <xdr:row>107</xdr:row>
                    <xdr:rowOff>57150</xdr:rowOff>
                  </to>
                </anchor>
              </controlPr>
            </control>
          </mc:Choice>
        </mc:AlternateContent>
        <mc:AlternateContent xmlns:mc="http://schemas.openxmlformats.org/markup-compatibility/2006">
          <mc:Choice Requires="x14">
            <control shapeId="17520" r:id="rId116" name="Check Box 112">
              <controlPr defaultSize="0" autoFill="0" autoLine="0" autoPict="0">
                <anchor moveWithCells="1">
                  <from>
                    <xdr:col>4</xdr:col>
                    <xdr:colOff>152400</xdr:colOff>
                    <xdr:row>106</xdr:row>
                    <xdr:rowOff>146050</xdr:rowOff>
                  </from>
                  <to>
                    <xdr:col>6</xdr:col>
                    <xdr:colOff>114300</xdr:colOff>
                    <xdr:row>108</xdr:row>
                    <xdr:rowOff>69850</xdr:rowOff>
                  </to>
                </anchor>
              </controlPr>
            </control>
          </mc:Choice>
        </mc:AlternateContent>
        <mc:AlternateContent xmlns:mc="http://schemas.openxmlformats.org/markup-compatibility/2006">
          <mc:Choice Requires="x14">
            <control shapeId="17521" r:id="rId117" name="Check Box 113">
              <controlPr defaultSize="0" autoFill="0" autoLine="0" autoPict="0">
                <anchor moveWithCells="1">
                  <from>
                    <xdr:col>4</xdr:col>
                    <xdr:colOff>152400</xdr:colOff>
                    <xdr:row>107</xdr:row>
                    <xdr:rowOff>146050</xdr:rowOff>
                  </from>
                  <to>
                    <xdr:col>6</xdr:col>
                    <xdr:colOff>114300</xdr:colOff>
                    <xdr:row>110</xdr:row>
                    <xdr:rowOff>0</xdr:rowOff>
                  </to>
                </anchor>
              </controlPr>
            </control>
          </mc:Choice>
        </mc:AlternateContent>
        <mc:AlternateContent xmlns:mc="http://schemas.openxmlformats.org/markup-compatibility/2006">
          <mc:Choice Requires="x14">
            <control shapeId="17522" r:id="rId118" name="Check Box 114">
              <controlPr defaultSize="0" autoFill="0" autoLine="0" autoPict="0">
                <anchor moveWithCells="1">
                  <from>
                    <xdr:col>5</xdr:col>
                    <xdr:colOff>165100</xdr:colOff>
                    <xdr:row>109</xdr:row>
                    <xdr:rowOff>31750</xdr:rowOff>
                  </from>
                  <to>
                    <xdr:col>7</xdr:col>
                    <xdr:colOff>127000</xdr:colOff>
                    <xdr:row>111</xdr:row>
                    <xdr:rowOff>69850</xdr:rowOff>
                  </to>
                </anchor>
              </controlPr>
            </control>
          </mc:Choice>
        </mc:AlternateContent>
        <mc:AlternateContent xmlns:mc="http://schemas.openxmlformats.org/markup-compatibility/2006">
          <mc:Choice Requires="x14">
            <control shapeId="17523" r:id="rId119" name="Check Box 115">
              <controlPr defaultSize="0" autoFill="0" autoLine="0" autoPict="0">
                <anchor moveWithCells="1">
                  <from>
                    <xdr:col>5</xdr:col>
                    <xdr:colOff>165100</xdr:colOff>
                    <xdr:row>110</xdr:row>
                    <xdr:rowOff>133350</xdr:rowOff>
                  </from>
                  <to>
                    <xdr:col>7</xdr:col>
                    <xdr:colOff>127000</xdr:colOff>
                    <xdr:row>112</xdr:row>
                    <xdr:rowOff>57150</xdr:rowOff>
                  </to>
                </anchor>
              </controlPr>
            </control>
          </mc:Choice>
        </mc:AlternateContent>
        <mc:AlternateContent xmlns:mc="http://schemas.openxmlformats.org/markup-compatibility/2006">
          <mc:Choice Requires="x14">
            <control shapeId="17524" r:id="rId120" name="Check Box 116">
              <controlPr defaultSize="0" autoFill="0" autoLine="0" autoPict="0">
                <anchor moveWithCells="1">
                  <from>
                    <xdr:col>4</xdr:col>
                    <xdr:colOff>152400</xdr:colOff>
                    <xdr:row>114</xdr:row>
                    <xdr:rowOff>38100</xdr:rowOff>
                  </from>
                  <to>
                    <xdr:col>6</xdr:col>
                    <xdr:colOff>114300</xdr:colOff>
                    <xdr:row>116</xdr:row>
                    <xdr:rowOff>88900</xdr:rowOff>
                  </to>
                </anchor>
              </controlPr>
            </control>
          </mc:Choice>
        </mc:AlternateContent>
        <mc:AlternateContent xmlns:mc="http://schemas.openxmlformats.org/markup-compatibility/2006">
          <mc:Choice Requires="x14">
            <control shapeId="17525" r:id="rId121" name="Check Box 117">
              <controlPr defaultSize="0" autoFill="0" autoLine="0" autoPict="0">
                <anchor moveWithCells="1">
                  <from>
                    <xdr:col>4</xdr:col>
                    <xdr:colOff>152400</xdr:colOff>
                    <xdr:row>115</xdr:row>
                    <xdr:rowOff>146050</xdr:rowOff>
                  </from>
                  <to>
                    <xdr:col>6</xdr:col>
                    <xdr:colOff>114300</xdr:colOff>
                    <xdr:row>117</xdr:row>
                    <xdr:rowOff>69850</xdr:rowOff>
                  </to>
                </anchor>
              </controlPr>
            </control>
          </mc:Choice>
        </mc:AlternateContent>
        <mc:AlternateContent xmlns:mc="http://schemas.openxmlformats.org/markup-compatibility/2006">
          <mc:Choice Requires="x14">
            <control shapeId="17526" r:id="rId122" name="Check Box 118">
              <controlPr defaultSize="0" autoFill="0" autoLine="0" autoPict="0">
                <anchor moveWithCells="1">
                  <from>
                    <xdr:col>4</xdr:col>
                    <xdr:colOff>152400</xdr:colOff>
                    <xdr:row>116</xdr:row>
                    <xdr:rowOff>146050</xdr:rowOff>
                  </from>
                  <to>
                    <xdr:col>6</xdr:col>
                    <xdr:colOff>114300</xdr:colOff>
                    <xdr:row>118</xdr:row>
                    <xdr:rowOff>69850</xdr:rowOff>
                  </to>
                </anchor>
              </controlPr>
            </control>
          </mc:Choice>
        </mc:AlternateContent>
        <mc:AlternateContent xmlns:mc="http://schemas.openxmlformats.org/markup-compatibility/2006">
          <mc:Choice Requires="x14">
            <control shapeId="17527" r:id="rId123" name="Check Box 119">
              <controlPr defaultSize="0" autoFill="0" autoLine="0" autoPict="0">
                <anchor moveWithCells="1">
                  <from>
                    <xdr:col>4</xdr:col>
                    <xdr:colOff>152400</xdr:colOff>
                    <xdr:row>117</xdr:row>
                    <xdr:rowOff>146050</xdr:rowOff>
                  </from>
                  <to>
                    <xdr:col>6</xdr:col>
                    <xdr:colOff>114300</xdr:colOff>
                    <xdr:row>119</xdr:row>
                    <xdr:rowOff>69850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Y7"/>
  <sheetViews>
    <sheetView topLeftCell="FU1" workbookViewId="0">
      <selection activeCell="FY5" sqref="FY5"/>
    </sheetView>
  </sheetViews>
  <sheetFormatPr defaultColWidth="12.3984375" defaultRowHeight="12" x14ac:dyDescent="0.2"/>
  <cols>
    <col min="1" max="1" width="10.3984375" customWidth="1"/>
  </cols>
  <sheetData>
    <row r="1" spans="1:233" s="6" customFormat="1" x14ac:dyDescent="0.2">
      <c r="B1" s="6">
        <v>0</v>
      </c>
      <c r="C1" s="6">
        <v>1</v>
      </c>
      <c r="D1" s="6">
        <f>C1+1</f>
        <v>2</v>
      </c>
      <c r="E1" s="6">
        <f t="shared" ref="E1:BP1" si="0">D1+1</f>
        <v>3</v>
      </c>
      <c r="F1" s="6">
        <f t="shared" si="0"/>
        <v>4</v>
      </c>
      <c r="G1" s="6">
        <f t="shared" si="0"/>
        <v>5</v>
      </c>
      <c r="H1" s="6">
        <f t="shared" si="0"/>
        <v>6</v>
      </c>
      <c r="I1" s="6">
        <f t="shared" si="0"/>
        <v>7</v>
      </c>
      <c r="J1" s="6">
        <f t="shared" si="0"/>
        <v>8</v>
      </c>
      <c r="K1" s="6">
        <f t="shared" si="0"/>
        <v>9</v>
      </c>
      <c r="L1" s="6">
        <f t="shared" si="0"/>
        <v>10</v>
      </c>
      <c r="M1" s="6">
        <f t="shared" si="0"/>
        <v>11</v>
      </c>
      <c r="N1" s="6">
        <f t="shared" si="0"/>
        <v>12</v>
      </c>
      <c r="O1" s="6">
        <f t="shared" si="0"/>
        <v>13</v>
      </c>
      <c r="P1" s="6">
        <f t="shared" si="0"/>
        <v>14</v>
      </c>
      <c r="Q1" s="6">
        <f t="shared" si="0"/>
        <v>15</v>
      </c>
      <c r="R1" s="6">
        <f t="shared" si="0"/>
        <v>16</v>
      </c>
      <c r="S1" s="6">
        <f t="shared" si="0"/>
        <v>17</v>
      </c>
      <c r="T1" s="6">
        <f t="shared" si="0"/>
        <v>18</v>
      </c>
      <c r="U1" s="6">
        <f t="shared" si="0"/>
        <v>19</v>
      </c>
      <c r="V1" s="6">
        <f t="shared" si="0"/>
        <v>20</v>
      </c>
      <c r="W1" s="6">
        <f t="shared" si="0"/>
        <v>21</v>
      </c>
      <c r="X1" s="6">
        <f t="shared" si="0"/>
        <v>22</v>
      </c>
      <c r="Y1" s="6">
        <f t="shared" si="0"/>
        <v>23</v>
      </c>
      <c r="Z1" s="6">
        <f t="shared" si="0"/>
        <v>24</v>
      </c>
      <c r="AA1" s="6">
        <f t="shared" si="0"/>
        <v>25</v>
      </c>
      <c r="AB1" s="6">
        <f t="shared" si="0"/>
        <v>26</v>
      </c>
      <c r="AC1" s="6">
        <f t="shared" si="0"/>
        <v>27</v>
      </c>
      <c r="AD1" s="6">
        <f t="shared" si="0"/>
        <v>28</v>
      </c>
      <c r="AE1" s="6">
        <f t="shared" si="0"/>
        <v>29</v>
      </c>
      <c r="AF1" s="6">
        <f t="shared" si="0"/>
        <v>30</v>
      </c>
      <c r="AG1" s="6">
        <f t="shared" si="0"/>
        <v>31</v>
      </c>
      <c r="AH1" s="6">
        <f t="shared" si="0"/>
        <v>32</v>
      </c>
      <c r="AI1" s="6">
        <f t="shared" si="0"/>
        <v>33</v>
      </c>
      <c r="AJ1" s="6">
        <f t="shared" si="0"/>
        <v>34</v>
      </c>
      <c r="AK1" s="6">
        <f t="shared" si="0"/>
        <v>35</v>
      </c>
      <c r="AL1" s="6">
        <f t="shared" si="0"/>
        <v>36</v>
      </c>
      <c r="AM1" s="6">
        <f t="shared" si="0"/>
        <v>37</v>
      </c>
      <c r="AN1" s="6">
        <f t="shared" si="0"/>
        <v>38</v>
      </c>
      <c r="AO1" s="6">
        <f t="shared" si="0"/>
        <v>39</v>
      </c>
      <c r="AP1" s="6">
        <f t="shared" si="0"/>
        <v>40</v>
      </c>
      <c r="AQ1" s="6">
        <f t="shared" si="0"/>
        <v>41</v>
      </c>
      <c r="AR1" s="6">
        <f t="shared" si="0"/>
        <v>42</v>
      </c>
      <c r="AS1" s="6">
        <f t="shared" si="0"/>
        <v>43</v>
      </c>
      <c r="AT1" s="6">
        <f t="shared" si="0"/>
        <v>44</v>
      </c>
      <c r="AU1" s="6">
        <f t="shared" si="0"/>
        <v>45</v>
      </c>
      <c r="AV1" s="6">
        <f t="shared" si="0"/>
        <v>46</v>
      </c>
      <c r="AW1" s="6">
        <f t="shared" si="0"/>
        <v>47</v>
      </c>
      <c r="AX1" s="6">
        <f t="shared" si="0"/>
        <v>48</v>
      </c>
      <c r="AY1" s="6">
        <f t="shared" si="0"/>
        <v>49</v>
      </c>
      <c r="AZ1" s="6">
        <f t="shared" si="0"/>
        <v>50</v>
      </c>
      <c r="BA1" s="6">
        <f t="shared" si="0"/>
        <v>51</v>
      </c>
      <c r="BB1" s="6">
        <f t="shared" si="0"/>
        <v>52</v>
      </c>
      <c r="BC1" s="6">
        <f t="shared" si="0"/>
        <v>53</v>
      </c>
      <c r="BD1" s="6">
        <f t="shared" si="0"/>
        <v>54</v>
      </c>
      <c r="BE1" s="6">
        <f t="shared" si="0"/>
        <v>55</v>
      </c>
      <c r="BF1" s="6">
        <f t="shared" si="0"/>
        <v>56</v>
      </c>
      <c r="BG1" s="6">
        <f t="shared" si="0"/>
        <v>57</v>
      </c>
      <c r="BH1" s="6">
        <f t="shared" si="0"/>
        <v>58</v>
      </c>
      <c r="BI1" s="6">
        <f t="shared" si="0"/>
        <v>59</v>
      </c>
      <c r="BJ1" s="6">
        <f t="shared" si="0"/>
        <v>60</v>
      </c>
      <c r="BK1" s="6">
        <f t="shared" si="0"/>
        <v>61</v>
      </c>
      <c r="BL1" s="6">
        <f t="shared" si="0"/>
        <v>62</v>
      </c>
      <c r="BM1" s="6">
        <f t="shared" si="0"/>
        <v>63</v>
      </c>
      <c r="BN1" s="6">
        <f t="shared" si="0"/>
        <v>64</v>
      </c>
      <c r="BO1" s="6">
        <f t="shared" si="0"/>
        <v>65</v>
      </c>
      <c r="BP1" s="6">
        <f t="shared" si="0"/>
        <v>66</v>
      </c>
      <c r="BQ1" s="6">
        <f t="shared" ref="BQ1:EB1" si="1">BP1+1</f>
        <v>67</v>
      </c>
      <c r="BR1" s="6">
        <f t="shared" si="1"/>
        <v>68</v>
      </c>
      <c r="BS1" s="6">
        <f t="shared" si="1"/>
        <v>69</v>
      </c>
      <c r="BT1" s="6">
        <f t="shared" si="1"/>
        <v>70</v>
      </c>
      <c r="BU1" s="6">
        <f t="shared" si="1"/>
        <v>71</v>
      </c>
      <c r="BV1" s="6">
        <f t="shared" si="1"/>
        <v>72</v>
      </c>
      <c r="BW1" s="6">
        <f t="shared" si="1"/>
        <v>73</v>
      </c>
      <c r="BX1" s="6">
        <f t="shared" si="1"/>
        <v>74</v>
      </c>
      <c r="BY1" s="6">
        <f t="shared" si="1"/>
        <v>75</v>
      </c>
      <c r="BZ1" s="6">
        <f t="shared" si="1"/>
        <v>76</v>
      </c>
      <c r="CA1" s="6">
        <f t="shared" si="1"/>
        <v>77</v>
      </c>
      <c r="CB1" s="6">
        <f t="shared" si="1"/>
        <v>78</v>
      </c>
      <c r="CC1" s="6">
        <f t="shared" si="1"/>
        <v>79</v>
      </c>
      <c r="CD1" s="6">
        <f t="shared" si="1"/>
        <v>80</v>
      </c>
      <c r="CE1" s="6">
        <f t="shared" si="1"/>
        <v>81</v>
      </c>
      <c r="CF1" s="6">
        <f t="shared" si="1"/>
        <v>82</v>
      </c>
      <c r="CG1" s="6">
        <f t="shared" si="1"/>
        <v>83</v>
      </c>
      <c r="CH1" s="6">
        <f t="shared" si="1"/>
        <v>84</v>
      </c>
      <c r="CI1" s="6">
        <f t="shared" si="1"/>
        <v>85</v>
      </c>
      <c r="CJ1" s="6">
        <f t="shared" si="1"/>
        <v>86</v>
      </c>
      <c r="CK1" s="6">
        <f t="shared" si="1"/>
        <v>87</v>
      </c>
      <c r="CL1" s="6">
        <f t="shared" si="1"/>
        <v>88</v>
      </c>
      <c r="CM1" s="6">
        <f t="shared" si="1"/>
        <v>89</v>
      </c>
      <c r="CN1" s="6">
        <f t="shared" si="1"/>
        <v>90</v>
      </c>
      <c r="CO1" s="6">
        <f t="shared" si="1"/>
        <v>91</v>
      </c>
      <c r="CP1" s="6">
        <f t="shared" si="1"/>
        <v>92</v>
      </c>
      <c r="CQ1" s="6">
        <f t="shared" si="1"/>
        <v>93</v>
      </c>
      <c r="CR1" s="6">
        <f t="shared" si="1"/>
        <v>94</v>
      </c>
      <c r="CS1" s="6">
        <f t="shared" si="1"/>
        <v>95</v>
      </c>
      <c r="CT1" s="6">
        <f t="shared" si="1"/>
        <v>96</v>
      </c>
      <c r="CU1" s="6">
        <f t="shared" si="1"/>
        <v>97</v>
      </c>
      <c r="CV1" s="6">
        <f t="shared" si="1"/>
        <v>98</v>
      </c>
      <c r="CW1" s="6">
        <f t="shared" si="1"/>
        <v>99</v>
      </c>
      <c r="CX1" s="6">
        <f t="shared" si="1"/>
        <v>100</v>
      </c>
      <c r="CY1" s="6">
        <f t="shared" si="1"/>
        <v>101</v>
      </c>
      <c r="CZ1" s="6">
        <f t="shared" si="1"/>
        <v>102</v>
      </c>
      <c r="DA1" s="6">
        <f t="shared" si="1"/>
        <v>103</v>
      </c>
      <c r="DB1" s="6">
        <f t="shared" si="1"/>
        <v>104</v>
      </c>
      <c r="DC1" s="6">
        <f t="shared" si="1"/>
        <v>105</v>
      </c>
      <c r="DD1" s="6">
        <f t="shared" si="1"/>
        <v>106</v>
      </c>
      <c r="DE1" s="6">
        <f t="shared" si="1"/>
        <v>107</v>
      </c>
      <c r="DF1" s="6">
        <f t="shared" si="1"/>
        <v>108</v>
      </c>
      <c r="DG1" s="6">
        <f t="shared" si="1"/>
        <v>109</v>
      </c>
      <c r="DH1" s="6">
        <f t="shared" si="1"/>
        <v>110</v>
      </c>
      <c r="DI1" s="6">
        <f t="shared" si="1"/>
        <v>111</v>
      </c>
      <c r="DJ1" s="6">
        <f t="shared" si="1"/>
        <v>112</v>
      </c>
      <c r="DK1" s="6">
        <f t="shared" si="1"/>
        <v>113</v>
      </c>
      <c r="DL1" s="6">
        <f t="shared" si="1"/>
        <v>114</v>
      </c>
      <c r="DM1" s="6">
        <f t="shared" si="1"/>
        <v>115</v>
      </c>
      <c r="DN1" s="6">
        <f t="shared" si="1"/>
        <v>116</v>
      </c>
      <c r="DO1" s="6">
        <f t="shared" si="1"/>
        <v>117</v>
      </c>
      <c r="DP1" s="6">
        <f t="shared" si="1"/>
        <v>118</v>
      </c>
      <c r="DQ1" s="6">
        <f t="shared" si="1"/>
        <v>119</v>
      </c>
      <c r="DR1" s="6">
        <f t="shared" si="1"/>
        <v>120</v>
      </c>
      <c r="DS1" s="6">
        <f t="shared" si="1"/>
        <v>121</v>
      </c>
      <c r="DT1" s="6">
        <f t="shared" si="1"/>
        <v>122</v>
      </c>
      <c r="DU1" s="6">
        <f t="shared" si="1"/>
        <v>123</v>
      </c>
      <c r="DV1" s="6">
        <f t="shared" si="1"/>
        <v>124</v>
      </c>
      <c r="DW1" s="6">
        <f t="shared" si="1"/>
        <v>125</v>
      </c>
      <c r="DX1" s="6">
        <f t="shared" si="1"/>
        <v>126</v>
      </c>
      <c r="DY1" s="6">
        <f t="shared" si="1"/>
        <v>127</v>
      </c>
      <c r="DZ1" s="6">
        <f t="shared" si="1"/>
        <v>128</v>
      </c>
      <c r="EA1" s="6">
        <f t="shared" si="1"/>
        <v>129</v>
      </c>
      <c r="EB1" s="6">
        <f t="shared" si="1"/>
        <v>130</v>
      </c>
      <c r="EC1" s="6">
        <f t="shared" ref="EC1:GO1" si="2">EB1+1</f>
        <v>131</v>
      </c>
      <c r="ED1" s="6">
        <f t="shared" si="2"/>
        <v>132</v>
      </c>
      <c r="EE1" s="6">
        <f t="shared" si="2"/>
        <v>133</v>
      </c>
      <c r="EF1" s="6">
        <f t="shared" si="2"/>
        <v>134</v>
      </c>
      <c r="EG1" s="6">
        <f t="shared" si="2"/>
        <v>135</v>
      </c>
      <c r="EH1" s="6">
        <f t="shared" si="2"/>
        <v>136</v>
      </c>
      <c r="EI1" s="6">
        <f t="shared" si="2"/>
        <v>137</v>
      </c>
      <c r="EJ1" s="6">
        <f t="shared" si="2"/>
        <v>138</v>
      </c>
      <c r="EK1" s="6">
        <f t="shared" si="2"/>
        <v>139</v>
      </c>
      <c r="EL1" s="6">
        <f t="shared" si="2"/>
        <v>140</v>
      </c>
      <c r="EM1" s="6">
        <f t="shared" si="2"/>
        <v>141</v>
      </c>
      <c r="EN1" s="6">
        <f t="shared" si="2"/>
        <v>142</v>
      </c>
      <c r="EO1" s="6">
        <f t="shared" si="2"/>
        <v>143</v>
      </c>
      <c r="EP1" s="6">
        <f t="shared" si="2"/>
        <v>144</v>
      </c>
      <c r="EQ1" s="6">
        <f t="shared" si="2"/>
        <v>145</v>
      </c>
      <c r="ER1" s="6">
        <f t="shared" si="2"/>
        <v>146</v>
      </c>
      <c r="ES1" s="6">
        <f t="shared" si="2"/>
        <v>147</v>
      </c>
      <c r="ET1" s="6">
        <f t="shared" si="2"/>
        <v>148</v>
      </c>
      <c r="EU1" s="6">
        <f t="shared" si="2"/>
        <v>149</v>
      </c>
      <c r="EV1" s="6">
        <f t="shared" si="2"/>
        <v>150</v>
      </c>
      <c r="EW1" s="6">
        <f t="shared" si="2"/>
        <v>151</v>
      </c>
      <c r="EX1" s="6">
        <f t="shared" si="2"/>
        <v>152</v>
      </c>
      <c r="EY1" s="6">
        <f t="shared" si="2"/>
        <v>153</v>
      </c>
      <c r="EZ1" s="6">
        <f t="shared" si="2"/>
        <v>154</v>
      </c>
      <c r="FA1" s="6">
        <f t="shared" si="2"/>
        <v>155</v>
      </c>
      <c r="FB1" s="6">
        <f t="shared" si="2"/>
        <v>156</v>
      </c>
      <c r="FC1" s="6">
        <f t="shared" si="2"/>
        <v>157</v>
      </c>
      <c r="FD1" s="6">
        <f t="shared" si="2"/>
        <v>158</v>
      </c>
      <c r="FE1" s="6">
        <f t="shared" si="2"/>
        <v>159</v>
      </c>
      <c r="FF1" s="6">
        <f t="shared" si="2"/>
        <v>160</v>
      </c>
      <c r="FG1" s="6">
        <f t="shared" si="2"/>
        <v>161</v>
      </c>
      <c r="FH1" s="6">
        <f t="shared" si="2"/>
        <v>162</v>
      </c>
      <c r="FI1" s="6">
        <f t="shared" si="2"/>
        <v>163</v>
      </c>
      <c r="FJ1" s="6">
        <f t="shared" si="2"/>
        <v>164</v>
      </c>
      <c r="FK1" s="6">
        <f t="shared" si="2"/>
        <v>165</v>
      </c>
      <c r="FL1" s="6">
        <f t="shared" si="2"/>
        <v>166</v>
      </c>
      <c r="FM1" s="6">
        <f t="shared" si="2"/>
        <v>167</v>
      </c>
      <c r="FN1" s="6">
        <f t="shared" si="2"/>
        <v>168</v>
      </c>
      <c r="FO1" s="6">
        <f t="shared" si="2"/>
        <v>169</v>
      </c>
      <c r="FP1" s="6">
        <f t="shared" si="2"/>
        <v>170</v>
      </c>
      <c r="FQ1" s="6">
        <f t="shared" si="2"/>
        <v>171</v>
      </c>
      <c r="FR1" s="6">
        <f t="shared" si="2"/>
        <v>172</v>
      </c>
      <c r="FS1" s="6">
        <f t="shared" si="2"/>
        <v>173</v>
      </c>
      <c r="FT1" s="6">
        <f t="shared" si="2"/>
        <v>174</v>
      </c>
      <c r="FU1" s="6">
        <f t="shared" si="2"/>
        <v>175</v>
      </c>
      <c r="FV1" s="6">
        <f t="shared" si="2"/>
        <v>176</v>
      </c>
      <c r="FW1" s="6">
        <f t="shared" si="2"/>
        <v>177</v>
      </c>
      <c r="FX1" s="6">
        <f t="shared" si="2"/>
        <v>178</v>
      </c>
      <c r="FY1" s="6">
        <f t="shared" si="2"/>
        <v>179</v>
      </c>
      <c r="GA1" s="6">
        <f>FY1+1</f>
        <v>180</v>
      </c>
      <c r="GB1" s="6">
        <f t="shared" si="2"/>
        <v>181</v>
      </c>
      <c r="GC1" s="6">
        <f t="shared" si="2"/>
        <v>182</v>
      </c>
      <c r="GD1" s="6">
        <f t="shared" si="2"/>
        <v>183</v>
      </c>
      <c r="GE1" s="6">
        <f t="shared" si="2"/>
        <v>184</v>
      </c>
      <c r="GF1" s="6">
        <f t="shared" si="2"/>
        <v>185</v>
      </c>
      <c r="GG1" s="6">
        <f t="shared" si="2"/>
        <v>186</v>
      </c>
      <c r="GH1" s="6">
        <f t="shared" si="2"/>
        <v>187</v>
      </c>
      <c r="GI1" s="6">
        <f t="shared" si="2"/>
        <v>188</v>
      </c>
      <c r="GJ1" s="6">
        <f t="shared" si="2"/>
        <v>189</v>
      </c>
      <c r="GK1" s="6">
        <f t="shared" si="2"/>
        <v>190</v>
      </c>
      <c r="GL1" s="6">
        <f t="shared" si="2"/>
        <v>191</v>
      </c>
      <c r="GM1" s="6">
        <f t="shared" si="2"/>
        <v>192</v>
      </c>
      <c r="GN1" s="6">
        <f t="shared" si="2"/>
        <v>193</v>
      </c>
      <c r="GO1" s="6">
        <f t="shared" si="2"/>
        <v>194</v>
      </c>
      <c r="GP1" s="6">
        <f t="shared" ref="GP1:HY1" si="3">GO1+1</f>
        <v>195</v>
      </c>
      <c r="GQ1" s="6">
        <f t="shared" si="3"/>
        <v>196</v>
      </c>
      <c r="GR1" s="6">
        <f t="shared" si="3"/>
        <v>197</v>
      </c>
      <c r="GS1" s="6">
        <f t="shared" si="3"/>
        <v>198</v>
      </c>
      <c r="GT1" s="6">
        <f t="shared" si="3"/>
        <v>199</v>
      </c>
      <c r="GU1" s="6">
        <f t="shared" si="3"/>
        <v>200</v>
      </c>
      <c r="GV1" s="6">
        <f t="shared" si="3"/>
        <v>201</v>
      </c>
      <c r="GW1" s="6">
        <f t="shared" si="3"/>
        <v>202</v>
      </c>
      <c r="GX1" s="6">
        <f t="shared" si="3"/>
        <v>203</v>
      </c>
      <c r="GY1" s="6">
        <f t="shared" si="3"/>
        <v>204</v>
      </c>
      <c r="GZ1" s="6">
        <f t="shared" si="3"/>
        <v>205</v>
      </c>
      <c r="HA1" s="6">
        <f t="shared" si="3"/>
        <v>206</v>
      </c>
      <c r="HB1" s="6">
        <f t="shared" si="3"/>
        <v>207</v>
      </c>
      <c r="HC1" s="6">
        <f t="shared" si="3"/>
        <v>208</v>
      </c>
      <c r="HD1" s="6">
        <f t="shared" si="3"/>
        <v>209</v>
      </c>
      <c r="HE1" s="6">
        <f t="shared" si="3"/>
        <v>210</v>
      </c>
      <c r="HF1" s="6">
        <f t="shared" si="3"/>
        <v>211</v>
      </c>
      <c r="HG1" s="6">
        <f t="shared" si="3"/>
        <v>212</v>
      </c>
      <c r="HH1" s="6">
        <f t="shared" si="3"/>
        <v>213</v>
      </c>
      <c r="HI1" s="6">
        <f t="shared" si="3"/>
        <v>214</v>
      </c>
      <c r="HJ1" s="6">
        <f t="shared" si="3"/>
        <v>215</v>
      </c>
      <c r="HK1" s="6">
        <f t="shared" si="3"/>
        <v>216</v>
      </c>
      <c r="HL1" s="6">
        <f t="shared" si="3"/>
        <v>217</v>
      </c>
      <c r="HM1" s="6">
        <f t="shared" si="3"/>
        <v>218</v>
      </c>
      <c r="HN1" s="6">
        <f t="shared" si="3"/>
        <v>219</v>
      </c>
      <c r="HO1" s="6">
        <f t="shared" si="3"/>
        <v>220</v>
      </c>
      <c r="HP1" s="6">
        <f t="shared" si="3"/>
        <v>221</v>
      </c>
      <c r="HQ1" s="6">
        <f t="shared" si="3"/>
        <v>222</v>
      </c>
      <c r="HR1" s="6">
        <f t="shared" si="3"/>
        <v>223</v>
      </c>
      <c r="HS1" s="6">
        <f t="shared" si="3"/>
        <v>224</v>
      </c>
      <c r="HT1" s="6">
        <f t="shared" si="3"/>
        <v>225</v>
      </c>
      <c r="HU1" s="6">
        <f t="shared" si="3"/>
        <v>226</v>
      </c>
      <c r="HV1" s="6">
        <f t="shared" si="3"/>
        <v>227</v>
      </c>
      <c r="HW1" s="6">
        <f t="shared" si="3"/>
        <v>228</v>
      </c>
      <c r="HX1" s="6">
        <f t="shared" si="3"/>
        <v>229</v>
      </c>
      <c r="HY1" s="6">
        <f t="shared" si="3"/>
        <v>230</v>
      </c>
    </row>
    <row r="2" spans="1:233" s="6" customFormat="1" x14ac:dyDescent="0.2">
      <c r="A2" s="6" t="s">
        <v>260</v>
      </c>
      <c r="B2" s="201"/>
      <c r="C2" s="22" t="s">
        <v>261</v>
      </c>
      <c r="D2" s="23"/>
      <c r="E2" s="23"/>
      <c r="F2" s="23"/>
      <c r="G2" s="197"/>
      <c r="H2" s="25" t="s">
        <v>262</v>
      </c>
      <c r="I2" s="26"/>
      <c r="J2" s="26"/>
      <c r="K2" s="27"/>
      <c r="L2" s="22" t="s">
        <v>263</v>
      </c>
      <c r="M2" s="23"/>
      <c r="N2" s="24"/>
      <c r="O2" s="25" t="s">
        <v>264</v>
      </c>
      <c r="P2" s="26"/>
      <c r="Q2" s="26"/>
      <c r="R2" s="26"/>
      <c r="S2" s="26"/>
      <c r="T2" s="26"/>
      <c r="U2" s="27"/>
      <c r="V2" s="22" t="s">
        <v>265</v>
      </c>
      <c r="W2" s="23"/>
      <c r="X2" s="23"/>
      <c r="Y2" s="23"/>
      <c r="Z2" s="23"/>
      <c r="AA2" s="23"/>
      <c r="AB2" s="24"/>
      <c r="AC2" s="25" t="s">
        <v>266</v>
      </c>
      <c r="AD2" s="27"/>
      <c r="AE2" s="22" t="s">
        <v>267</v>
      </c>
      <c r="AF2" s="23"/>
      <c r="AG2" s="23"/>
      <c r="AH2" s="23"/>
      <c r="AI2" s="23"/>
      <c r="AJ2" s="24"/>
      <c r="AK2" s="51" t="s">
        <v>268</v>
      </c>
      <c r="AL2" s="26"/>
      <c r="AM2" s="26"/>
      <c r="AN2" s="26"/>
      <c r="AO2" s="26"/>
      <c r="AP2" s="28"/>
      <c r="AQ2" s="22" t="s">
        <v>269</v>
      </c>
      <c r="AR2" s="23"/>
      <c r="AS2" s="23"/>
      <c r="AT2" s="23"/>
      <c r="AU2" s="23"/>
      <c r="AV2" s="24"/>
      <c r="AW2" s="51" t="s">
        <v>270</v>
      </c>
      <c r="AX2" s="26"/>
      <c r="AY2" s="26"/>
      <c r="AZ2" s="26"/>
      <c r="BA2" s="26"/>
      <c r="BB2" s="28"/>
      <c r="BC2" s="22" t="s">
        <v>271</v>
      </c>
      <c r="BD2" s="23"/>
      <c r="BE2" s="23"/>
      <c r="BF2" s="23"/>
      <c r="BG2" s="23"/>
      <c r="BH2" s="24"/>
      <c r="BI2" s="51" t="s">
        <v>272</v>
      </c>
      <c r="BJ2" s="26"/>
      <c r="BK2" s="26"/>
      <c r="BL2" s="26"/>
      <c r="BM2" s="26"/>
      <c r="BN2" s="28"/>
      <c r="BO2" s="22" t="s">
        <v>273</v>
      </c>
      <c r="BP2" s="23"/>
      <c r="BQ2" s="23"/>
      <c r="BR2" s="23"/>
      <c r="BS2" s="23"/>
      <c r="BT2" s="24"/>
      <c r="BU2" s="51" t="s">
        <v>274</v>
      </c>
      <c r="BV2" s="26"/>
      <c r="BW2" s="26"/>
      <c r="BX2" s="26"/>
      <c r="BY2" s="26"/>
      <c r="BZ2" s="28"/>
      <c r="CA2" s="22" t="s">
        <v>275</v>
      </c>
      <c r="CB2" s="23"/>
      <c r="CC2" s="23"/>
      <c r="CD2" s="23"/>
      <c r="CE2" s="23"/>
      <c r="CF2" s="24"/>
      <c r="CG2" s="51" t="s">
        <v>276</v>
      </c>
      <c r="CH2" s="26"/>
      <c r="CI2" s="26"/>
      <c r="CJ2" s="26"/>
      <c r="CK2" s="26"/>
      <c r="CL2" s="28"/>
      <c r="CM2" s="22" t="s">
        <v>277</v>
      </c>
      <c r="CN2" s="23"/>
      <c r="CO2" s="23"/>
      <c r="CP2" s="23"/>
      <c r="CQ2" s="23"/>
      <c r="CR2" s="23"/>
      <c r="CS2" s="24"/>
      <c r="CT2" s="51" t="s">
        <v>278</v>
      </c>
      <c r="CU2" s="26"/>
      <c r="CV2" s="26"/>
      <c r="CW2" s="28"/>
      <c r="CX2" s="22" t="s">
        <v>279</v>
      </c>
      <c r="CY2" s="23"/>
      <c r="CZ2" s="23"/>
      <c r="DA2" s="23"/>
      <c r="DB2" s="24"/>
      <c r="DC2" s="51" t="s">
        <v>280</v>
      </c>
      <c r="DD2" s="26"/>
      <c r="DE2" s="26"/>
      <c r="DF2" s="26"/>
      <c r="DG2" s="26"/>
      <c r="DH2" s="26"/>
      <c r="DI2" s="28"/>
      <c r="DJ2" s="22" t="s">
        <v>281</v>
      </c>
      <c r="DK2" s="23"/>
      <c r="DL2" s="23"/>
      <c r="DM2" s="23"/>
      <c r="DN2" s="24"/>
      <c r="DO2" s="25" t="s">
        <v>282</v>
      </c>
      <c r="DP2" s="27"/>
      <c r="DQ2" s="59" t="s">
        <v>283</v>
      </c>
      <c r="DR2" s="67" t="s">
        <v>284</v>
      </c>
      <c r="DS2" s="63"/>
      <c r="DT2" s="63"/>
      <c r="DU2" s="63"/>
      <c r="DV2" s="63"/>
      <c r="DW2" s="63"/>
      <c r="DX2" s="63"/>
      <c r="DY2" s="63"/>
      <c r="DZ2" s="63"/>
      <c r="EA2" s="68"/>
      <c r="EB2" s="76" t="s">
        <v>285</v>
      </c>
      <c r="EC2" s="48"/>
      <c r="ED2" s="23"/>
      <c r="EE2" s="23"/>
      <c r="EF2" s="23"/>
      <c r="EG2" s="24"/>
      <c r="EH2" s="75" t="s">
        <v>286</v>
      </c>
      <c r="EI2" s="26"/>
      <c r="EJ2" s="26"/>
      <c r="EK2" s="26"/>
      <c r="EL2" s="26"/>
      <c r="EM2" s="26"/>
      <c r="EN2" s="27"/>
      <c r="EO2" s="76" t="s">
        <v>287</v>
      </c>
      <c r="EP2" s="48"/>
      <c r="EQ2" s="23"/>
      <c r="ER2" s="48"/>
      <c r="ES2" s="48"/>
      <c r="ET2" s="48"/>
      <c r="EU2" s="48"/>
      <c r="EV2" s="77"/>
      <c r="EW2" s="75" t="s">
        <v>288</v>
      </c>
      <c r="EX2" s="78"/>
      <c r="EY2" s="76" t="s">
        <v>289</v>
      </c>
      <c r="EZ2" s="48"/>
      <c r="FA2" s="48"/>
      <c r="FB2" s="48"/>
      <c r="FC2" s="48"/>
      <c r="FD2" s="77"/>
      <c r="FE2" s="75" t="s">
        <v>290</v>
      </c>
      <c r="FF2" s="47"/>
      <c r="FG2" s="47"/>
      <c r="FH2" s="78"/>
      <c r="FI2" s="76" t="s">
        <v>291</v>
      </c>
      <c r="FJ2" s="48"/>
      <c r="FK2" s="48"/>
      <c r="FL2" s="48"/>
      <c r="FM2" s="48"/>
      <c r="FN2" s="77"/>
      <c r="FO2" s="75" t="s">
        <v>292</v>
      </c>
      <c r="FP2" s="47"/>
      <c r="FQ2" s="47"/>
      <c r="FR2" s="47"/>
      <c r="FS2" s="47"/>
      <c r="FT2" s="47"/>
      <c r="FU2" s="47"/>
      <c r="FV2" s="47"/>
      <c r="FW2" s="47"/>
      <c r="FX2" s="78"/>
      <c r="FY2" s="59" t="s">
        <v>293</v>
      </c>
      <c r="FZ2" s="59" t="s">
        <v>294</v>
      </c>
      <c r="GA2" s="56" t="s">
        <v>295</v>
      </c>
      <c r="GB2" s="76" t="s">
        <v>296</v>
      </c>
      <c r="GC2" s="48"/>
      <c r="GD2" s="48"/>
      <c r="GE2" s="48"/>
      <c r="GF2" s="48"/>
      <c r="GG2" s="48"/>
      <c r="GH2" s="48"/>
      <c r="GI2" s="48"/>
      <c r="GJ2" s="77"/>
      <c r="GK2" s="75" t="s">
        <v>297</v>
      </c>
      <c r="GL2" s="47"/>
      <c r="GM2" s="47"/>
      <c r="GN2" s="47"/>
      <c r="GO2" s="78"/>
      <c r="GP2" s="76" t="s">
        <v>298</v>
      </c>
      <c r="GQ2" s="48"/>
      <c r="GR2" s="48"/>
      <c r="GS2" s="77"/>
      <c r="GT2" s="75" t="s">
        <v>299</v>
      </c>
      <c r="GU2" s="47"/>
      <c r="GV2" s="47"/>
      <c r="GW2" s="47"/>
      <c r="GX2" s="47"/>
      <c r="GY2" s="78"/>
      <c r="GZ2" s="76" t="s">
        <v>300</v>
      </c>
      <c r="HA2" s="48"/>
      <c r="HB2" s="48"/>
      <c r="HC2" s="77"/>
      <c r="HD2" s="75" t="s">
        <v>301</v>
      </c>
      <c r="HE2" s="47"/>
      <c r="HF2" s="47"/>
      <c r="HG2" s="47"/>
      <c r="HH2" s="47"/>
      <c r="HI2" s="78"/>
      <c r="HJ2" s="76" t="s">
        <v>302</v>
      </c>
      <c r="HK2" s="48"/>
      <c r="HL2" s="48"/>
      <c r="HM2" s="48"/>
      <c r="HN2" s="77"/>
      <c r="HO2" s="29" t="s">
        <v>303</v>
      </c>
      <c r="HP2" s="59" t="s">
        <v>304</v>
      </c>
      <c r="HQ2" s="55" t="s">
        <v>305</v>
      </c>
      <c r="HR2" s="80"/>
      <c r="HS2" s="76" t="s">
        <v>306</v>
      </c>
      <c r="HT2" s="23"/>
      <c r="HU2" s="23"/>
      <c r="HV2" s="23"/>
      <c r="HW2" s="24"/>
      <c r="HX2" s="30" t="s">
        <v>307</v>
      </c>
      <c r="HY2" s="81" t="s">
        <v>308</v>
      </c>
    </row>
    <row r="3" spans="1:233" s="6" customFormat="1" x14ac:dyDescent="0.2">
      <c r="A3" s="6" t="s">
        <v>309</v>
      </c>
      <c r="B3" s="79" t="s">
        <v>310</v>
      </c>
      <c r="C3" s="31" t="s">
        <v>311</v>
      </c>
      <c r="D3" s="32" t="s">
        <v>312</v>
      </c>
      <c r="E3" s="32" t="s">
        <v>313</v>
      </c>
      <c r="F3" s="32" t="s">
        <v>314</v>
      </c>
      <c r="G3" s="198" t="s">
        <v>315</v>
      </c>
      <c r="H3" s="34" t="s">
        <v>15</v>
      </c>
      <c r="I3" s="35" t="s">
        <v>316</v>
      </c>
      <c r="J3" s="35" t="s">
        <v>317</v>
      </c>
      <c r="K3" s="36" t="s">
        <v>318</v>
      </c>
      <c r="L3" s="31" t="s">
        <v>319</v>
      </c>
      <c r="M3" s="32" t="s">
        <v>320</v>
      </c>
      <c r="N3" s="33" t="s">
        <v>321</v>
      </c>
      <c r="O3" s="34" t="s">
        <v>322</v>
      </c>
      <c r="P3" s="35" t="s">
        <v>323</v>
      </c>
      <c r="Q3" s="35" t="s">
        <v>324</v>
      </c>
      <c r="R3" s="35" t="s">
        <v>325</v>
      </c>
      <c r="S3" s="35" t="s">
        <v>319</v>
      </c>
      <c r="T3" s="35" t="s">
        <v>320</v>
      </c>
      <c r="U3" s="36" t="s">
        <v>321</v>
      </c>
      <c r="V3" s="31" t="s">
        <v>322</v>
      </c>
      <c r="W3" s="32" t="s">
        <v>323</v>
      </c>
      <c r="X3" s="32" t="s">
        <v>324</v>
      </c>
      <c r="Y3" s="32" t="s">
        <v>325</v>
      </c>
      <c r="Z3" s="32" t="s">
        <v>319</v>
      </c>
      <c r="AA3" s="32" t="s">
        <v>320</v>
      </c>
      <c r="AB3" s="33" t="s">
        <v>321</v>
      </c>
      <c r="AC3" s="34" t="s">
        <v>326</v>
      </c>
      <c r="AD3" s="36" t="s">
        <v>327</v>
      </c>
      <c r="AE3" s="31" t="s">
        <v>322</v>
      </c>
      <c r="AF3" s="32" t="s">
        <v>323</v>
      </c>
      <c r="AG3" s="32" t="s">
        <v>324</v>
      </c>
      <c r="AH3" s="32" t="s">
        <v>325</v>
      </c>
      <c r="AI3" s="32" t="s">
        <v>320</v>
      </c>
      <c r="AJ3" s="33" t="s">
        <v>321</v>
      </c>
      <c r="AK3" s="52" t="s">
        <v>322</v>
      </c>
      <c r="AL3" s="35" t="s">
        <v>323</v>
      </c>
      <c r="AM3" s="35" t="s">
        <v>324</v>
      </c>
      <c r="AN3" s="35" t="s">
        <v>325</v>
      </c>
      <c r="AO3" s="35" t="s">
        <v>320</v>
      </c>
      <c r="AP3" s="37" t="s">
        <v>321</v>
      </c>
      <c r="AQ3" s="31" t="s">
        <v>322</v>
      </c>
      <c r="AR3" s="32" t="s">
        <v>323</v>
      </c>
      <c r="AS3" s="32" t="s">
        <v>324</v>
      </c>
      <c r="AT3" s="32" t="s">
        <v>325</v>
      </c>
      <c r="AU3" s="32" t="s">
        <v>320</v>
      </c>
      <c r="AV3" s="33" t="s">
        <v>321</v>
      </c>
      <c r="AW3" s="52" t="s">
        <v>322</v>
      </c>
      <c r="AX3" s="35" t="s">
        <v>323</v>
      </c>
      <c r="AY3" s="35" t="s">
        <v>324</v>
      </c>
      <c r="AZ3" s="35" t="s">
        <v>325</v>
      </c>
      <c r="BA3" s="35" t="s">
        <v>320</v>
      </c>
      <c r="BB3" s="37" t="s">
        <v>321</v>
      </c>
      <c r="BC3" s="31" t="s">
        <v>322</v>
      </c>
      <c r="BD3" s="32" t="s">
        <v>323</v>
      </c>
      <c r="BE3" s="32" t="s">
        <v>324</v>
      </c>
      <c r="BF3" s="32" t="s">
        <v>325</v>
      </c>
      <c r="BG3" s="32" t="s">
        <v>320</v>
      </c>
      <c r="BH3" s="33" t="s">
        <v>321</v>
      </c>
      <c r="BI3" s="52" t="s">
        <v>322</v>
      </c>
      <c r="BJ3" s="35" t="s">
        <v>323</v>
      </c>
      <c r="BK3" s="35" t="s">
        <v>324</v>
      </c>
      <c r="BL3" s="35" t="s">
        <v>325</v>
      </c>
      <c r="BM3" s="35" t="s">
        <v>320</v>
      </c>
      <c r="BN3" s="37" t="s">
        <v>321</v>
      </c>
      <c r="BO3" s="31" t="s">
        <v>322</v>
      </c>
      <c r="BP3" s="32" t="s">
        <v>323</v>
      </c>
      <c r="BQ3" s="32" t="s">
        <v>324</v>
      </c>
      <c r="BR3" s="32" t="s">
        <v>325</v>
      </c>
      <c r="BS3" s="32" t="s">
        <v>320</v>
      </c>
      <c r="BT3" s="33" t="s">
        <v>321</v>
      </c>
      <c r="BU3" s="52" t="s">
        <v>322</v>
      </c>
      <c r="BV3" s="35" t="s">
        <v>323</v>
      </c>
      <c r="BW3" s="35" t="s">
        <v>324</v>
      </c>
      <c r="BX3" s="35" t="s">
        <v>325</v>
      </c>
      <c r="BY3" s="35" t="s">
        <v>320</v>
      </c>
      <c r="BZ3" s="37" t="s">
        <v>321</v>
      </c>
      <c r="CA3" s="31" t="s">
        <v>322</v>
      </c>
      <c r="CB3" s="32" t="s">
        <v>323</v>
      </c>
      <c r="CC3" s="32" t="s">
        <v>324</v>
      </c>
      <c r="CD3" s="32" t="s">
        <v>325</v>
      </c>
      <c r="CE3" s="32" t="s">
        <v>320</v>
      </c>
      <c r="CF3" s="33" t="s">
        <v>321</v>
      </c>
      <c r="CG3" s="52" t="s">
        <v>328</v>
      </c>
      <c r="CH3" s="35" t="s">
        <v>329</v>
      </c>
      <c r="CI3" s="35" t="s">
        <v>330</v>
      </c>
      <c r="CJ3" s="35" t="s">
        <v>331</v>
      </c>
      <c r="CK3" s="35" t="s">
        <v>332</v>
      </c>
      <c r="CL3" s="37" t="s">
        <v>333</v>
      </c>
      <c r="CM3" s="31" t="s">
        <v>334</v>
      </c>
      <c r="CN3" s="49" t="s">
        <v>335</v>
      </c>
      <c r="CO3" s="32" t="s">
        <v>336</v>
      </c>
      <c r="CP3" s="49" t="s">
        <v>337</v>
      </c>
      <c r="CQ3" s="32" t="s">
        <v>338</v>
      </c>
      <c r="CR3" s="32" t="s">
        <v>339</v>
      </c>
      <c r="CS3" s="33" t="s">
        <v>340</v>
      </c>
      <c r="CT3" s="52" t="s">
        <v>341</v>
      </c>
      <c r="CU3" s="35" t="s">
        <v>342</v>
      </c>
      <c r="CV3" s="35" t="s">
        <v>343</v>
      </c>
      <c r="CW3" s="37" t="s">
        <v>338</v>
      </c>
      <c r="CX3" s="31" t="s">
        <v>344</v>
      </c>
      <c r="CY3" s="32" t="s">
        <v>345</v>
      </c>
      <c r="CZ3" s="32" t="s">
        <v>346</v>
      </c>
      <c r="DA3" s="32" t="s">
        <v>337</v>
      </c>
      <c r="DB3" s="33" t="s">
        <v>338</v>
      </c>
      <c r="DC3" s="52" t="s">
        <v>334</v>
      </c>
      <c r="DD3" s="50" t="s">
        <v>335</v>
      </c>
      <c r="DE3" s="35" t="s">
        <v>336</v>
      </c>
      <c r="DF3" s="50" t="s">
        <v>337</v>
      </c>
      <c r="DG3" s="35" t="s">
        <v>338</v>
      </c>
      <c r="DH3" s="35" t="s">
        <v>339</v>
      </c>
      <c r="DI3" s="37" t="s">
        <v>340</v>
      </c>
      <c r="DJ3" s="31" t="s">
        <v>347</v>
      </c>
      <c r="DK3" s="32" t="s">
        <v>348</v>
      </c>
      <c r="DL3" s="32" t="s">
        <v>349</v>
      </c>
      <c r="DM3" s="32" t="s">
        <v>337</v>
      </c>
      <c r="DN3" s="33" t="s">
        <v>338</v>
      </c>
      <c r="DO3" s="34" t="s">
        <v>350</v>
      </c>
      <c r="DP3" s="36" t="s">
        <v>351</v>
      </c>
      <c r="DQ3" s="60" t="s">
        <v>352</v>
      </c>
      <c r="DR3" s="69" t="s">
        <v>353</v>
      </c>
      <c r="DS3" s="64" t="s">
        <v>354</v>
      </c>
      <c r="DT3" s="64" t="s">
        <v>355</v>
      </c>
      <c r="DU3" s="64" t="s">
        <v>356</v>
      </c>
      <c r="DV3" s="64" t="s">
        <v>357</v>
      </c>
      <c r="DW3" s="64" t="s">
        <v>358</v>
      </c>
      <c r="DX3" s="64" t="s">
        <v>359</v>
      </c>
      <c r="DY3" s="64" t="s">
        <v>360</v>
      </c>
      <c r="DZ3" s="64" t="s">
        <v>361</v>
      </c>
      <c r="EA3" s="70" t="s">
        <v>362</v>
      </c>
      <c r="EB3" s="31" t="s">
        <v>363</v>
      </c>
      <c r="EC3" s="32" t="s">
        <v>364</v>
      </c>
      <c r="ED3" s="32" t="s">
        <v>365</v>
      </c>
      <c r="EE3" s="32" t="s">
        <v>366</v>
      </c>
      <c r="EF3" s="32" t="s">
        <v>367</v>
      </c>
      <c r="EG3" s="33" t="s">
        <v>368</v>
      </c>
      <c r="EH3" s="34" t="s">
        <v>369</v>
      </c>
      <c r="EI3" s="35" t="s">
        <v>370</v>
      </c>
      <c r="EJ3" s="35" t="s">
        <v>371</v>
      </c>
      <c r="EK3" s="35" t="s">
        <v>372</v>
      </c>
      <c r="EL3" s="35" t="s">
        <v>373</v>
      </c>
      <c r="EM3" s="35" t="s">
        <v>374</v>
      </c>
      <c r="EN3" s="36" t="s">
        <v>375</v>
      </c>
      <c r="EO3" s="31" t="s">
        <v>376</v>
      </c>
      <c r="EP3" s="32" t="s">
        <v>377</v>
      </c>
      <c r="EQ3" s="32" t="s">
        <v>378</v>
      </c>
      <c r="ER3" s="32" t="s">
        <v>379</v>
      </c>
      <c r="ES3" s="32" t="s">
        <v>380</v>
      </c>
      <c r="ET3" s="32" t="s">
        <v>381</v>
      </c>
      <c r="EU3" s="32" t="s">
        <v>382</v>
      </c>
      <c r="EV3" s="33" t="s">
        <v>383</v>
      </c>
      <c r="EW3" s="34" t="s">
        <v>384</v>
      </c>
      <c r="EX3" s="36" t="s">
        <v>385</v>
      </c>
      <c r="EY3" s="31" t="s">
        <v>386</v>
      </c>
      <c r="EZ3" s="32" t="s">
        <v>387</v>
      </c>
      <c r="FA3" s="32" t="s">
        <v>388</v>
      </c>
      <c r="FB3" s="32" t="s">
        <v>389</v>
      </c>
      <c r="FC3" s="32" t="s">
        <v>390</v>
      </c>
      <c r="FD3" s="33" t="s">
        <v>383</v>
      </c>
      <c r="FE3" s="34" t="s">
        <v>391</v>
      </c>
      <c r="FF3" s="35" t="s">
        <v>392</v>
      </c>
      <c r="FG3" s="35" t="s">
        <v>393</v>
      </c>
      <c r="FH3" s="36" t="s">
        <v>383</v>
      </c>
      <c r="FI3" s="31" t="s">
        <v>394</v>
      </c>
      <c r="FJ3" s="32" t="s">
        <v>395</v>
      </c>
      <c r="FK3" s="32" t="s">
        <v>396</v>
      </c>
      <c r="FL3" s="32" t="s">
        <v>397</v>
      </c>
      <c r="FM3" s="32" t="s">
        <v>398</v>
      </c>
      <c r="FN3" s="33" t="s">
        <v>399</v>
      </c>
      <c r="FO3" s="34" t="s">
        <v>400</v>
      </c>
      <c r="FP3" s="35" t="s">
        <v>401</v>
      </c>
      <c r="FQ3" s="35" t="s">
        <v>402</v>
      </c>
      <c r="FR3" s="35" t="s">
        <v>403</v>
      </c>
      <c r="FS3" s="35" t="s">
        <v>404</v>
      </c>
      <c r="FT3" s="35" t="s">
        <v>405</v>
      </c>
      <c r="FU3" s="35" t="s">
        <v>406</v>
      </c>
      <c r="FV3" s="35" t="s">
        <v>407</v>
      </c>
      <c r="FW3" s="35" t="s">
        <v>408</v>
      </c>
      <c r="FX3" s="36" t="s">
        <v>383</v>
      </c>
      <c r="FY3" s="60" t="s">
        <v>409</v>
      </c>
      <c r="FZ3" s="60" t="s">
        <v>410</v>
      </c>
      <c r="GA3" s="79" t="s">
        <v>411</v>
      </c>
      <c r="GB3" s="31" t="s">
        <v>412</v>
      </c>
      <c r="GC3" s="32" t="s">
        <v>413</v>
      </c>
      <c r="GD3" s="32" t="s">
        <v>414</v>
      </c>
      <c r="GE3" s="32" t="s">
        <v>415</v>
      </c>
      <c r="GF3" s="32" t="s">
        <v>416</v>
      </c>
      <c r="GG3" s="32" t="s">
        <v>417</v>
      </c>
      <c r="GH3" s="32" t="s">
        <v>418</v>
      </c>
      <c r="GI3" s="32" t="s">
        <v>419</v>
      </c>
      <c r="GJ3" s="33" t="s">
        <v>383</v>
      </c>
      <c r="GK3" s="34" t="s">
        <v>420</v>
      </c>
      <c r="GL3" s="35" t="s">
        <v>421</v>
      </c>
      <c r="GM3" s="35" t="s">
        <v>422</v>
      </c>
      <c r="GN3" s="35" t="s">
        <v>423</v>
      </c>
      <c r="GO3" s="36" t="s">
        <v>383</v>
      </c>
      <c r="GP3" s="31" t="s">
        <v>424</v>
      </c>
      <c r="GQ3" s="32" t="s">
        <v>425</v>
      </c>
      <c r="GR3" s="32" t="s">
        <v>426</v>
      </c>
      <c r="GS3" s="33" t="s">
        <v>383</v>
      </c>
      <c r="GT3" s="34" t="s">
        <v>427</v>
      </c>
      <c r="GU3" s="35" t="s">
        <v>428</v>
      </c>
      <c r="GV3" s="35" t="s">
        <v>429</v>
      </c>
      <c r="GW3" s="35" t="s">
        <v>430</v>
      </c>
      <c r="GX3" s="35" t="s">
        <v>431</v>
      </c>
      <c r="GY3" s="36" t="s">
        <v>383</v>
      </c>
      <c r="GZ3" s="31" t="s">
        <v>432</v>
      </c>
      <c r="HA3" s="32" t="s">
        <v>433</v>
      </c>
      <c r="HB3" s="32" t="s">
        <v>434</v>
      </c>
      <c r="HC3" s="33" t="s">
        <v>383</v>
      </c>
      <c r="HD3" s="34" t="s">
        <v>435</v>
      </c>
      <c r="HE3" s="35" t="s">
        <v>436</v>
      </c>
      <c r="HF3" s="35" t="s">
        <v>437</v>
      </c>
      <c r="HG3" s="35" t="s">
        <v>438</v>
      </c>
      <c r="HH3" s="35" t="s">
        <v>439</v>
      </c>
      <c r="HI3" s="36" t="s">
        <v>383</v>
      </c>
      <c r="HJ3" s="31" t="s">
        <v>440</v>
      </c>
      <c r="HK3" s="32" t="s">
        <v>441</v>
      </c>
      <c r="HL3" s="32" t="s">
        <v>442</v>
      </c>
      <c r="HM3" s="32" t="s">
        <v>443</v>
      </c>
      <c r="HN3" s="33" t="s">
        <v>383</v>
      </c>
      <c r="HO3" s="38" t="s">
        <v>444</v>
      </c>
      <c r="HP3" s="60" t="s">
        <v>445</v>
      </c>
      <c r="HQ3" s="52" t="s">
        <v>446</v>
      </c>
      <c r="HR3" s="37" t="s">
        <v>383</v>
      </c>
      <c r="HS3" s="31" t="s">
        <v>394</v>
      </c>
      <c r="HT3" s="32" t="s">
        <v>395</v>
      </c>
      <c r="HU3" s="32" t="s">
        <v>396</v>
      </c>
      <c r="HV3" s="32" t="s">
        <v>397</v>
      </c>
      <c r="HW3" s="33" t="s">
        <v>398</v>
      </c>
      <c r="HX3" s="38" t="s">
        <v>447</v>
      </c>
      <c r="HY3" s="60" t="s">
        <v>448</v>
      </c>
    </row>
    <row r="4" spans="1:233" s="6" customFormat="1" x14ac:dyDescent="0.2">
      <c r="A4" s="6" t="s">
        <v>449</v>
      </c>
      <c r="B4" s="57"/>
      <c r="C4" s="39"/>
      <c r="D4" s="40"/>
      <c r="E4" s="40"/>
      <c r="F4" s="40"/>
      <c r="G4" s="199"/>
      <c r="H4" s="42"/>
      <c r="I4" s="43"/>
      <c r="J4" s="43"/>
      <c r="K4" s="44"/>
      <c r="L4" s="39"/>
      <c r="M4" s="40"/>
      <c r="N4" s="41"/>
      <c r="O4" s="42"/>
      <c r="P4" s="43"/>
      <c r="Q4" s="43"/>
      <c r="R4" s="43"/>
      <c r="S4" s="43"/>
      <c r="T4" s="43"/>
      <c r="U4" s="44"/>
      <c r="V4" s="39"/>
      <c r="W4" s="40"/>
      <c r="X4" s="40"/>
      <c r="Y4" s="40"/>
      <c r="Z4" s="40"/>
      <c r="AA4" s="40"/>
      <c r="AB4" s="41"/>
      <c r="AC4" s="42"/>
      <c r="AD4" s="44"/>
      <c r="AE4" s="39"/>
      <c r="AF4" s="40"/>
      <c r="AG4" s="40"/>
      <c r="AH4" s="40"/>
      <c r="AI4" s="40"/>
      <c r="AJ4" s="41"/>
      <c r="AK4" s="53"/>
      <c r="AL4" s="43"/>
      <c r="AM4" s="43"/>
      <c r="AN4" s="43"/>
      <c r="AO4" s="43"/>
      <c r="AP4" s="45"/>
      <c r="AQ4" s="39"/>
      <c r="AR4" s="40"/>
      <c r="AS4" s="40"/>
      <c r="AT4" s="40"/>
      <c r="AU4" s="40"/>
      <c r="AV4" s="41"/>
      <c r="AW4" s="53"/>
      <c r="AX4" s="43"/>
      <c r="AY4" s="43"/>
      <c r="AZ4" s="43"/>
      <c r="BA4" s="43"/>
      <c r="BB4" s="45"/>
      <c r="BC4" s="39"/>
      <c r="BD4" s="40"/>
      <c r="BE4" s="40"/>
      <c r="BF4" s="40"/>
      <c r="BG4" s="40"/>
      <c r="BH4" s="41"/>
      <c r="BI4" s="53"/>
      <c r="BJ4" s="43"/>
      <c r="BK4" s="43"/>
      <c r="BL4" s="43"/>
      <c r="BM4" s="43"/>
      <c r="BN4" s="45"/>
      <c r="BO4" s="39"/>
      <c r="BP4" s="40"/>
      <c r="BQ4" s="40"/>
      <c r="BR4" s="40"/>
      <c r="BS4" s="40"/>
      <c r="BT4" s="41"/>
      <c r="BU4" s="53"/>
      <c r="BV4" s="43"/>
      <c r="BW4" s="43"/>
      <c r="BX4" s="43"/>
      <c r="BY4" s="43"/>
      <c r="BZ4" s="45"/>
      <c r="CA4" s="39"/>
      <c r="CB4" s="40"/>
      <c r="CC4" s="40"/>
      <c r="CD4" s="40"/>
      <c r="CE4" s="40"/>
      <c r="CF4" s="41"/>
      <c r="CG4" s="53" t="b">
        <v>0</v>
      </c>
      <c r="CH4" s="43" t="b">
        <v>0</v>
      </c>
      <c r="CI4" s="43" t="b">
        <v>0</v>
      </c>
      <c r="CJ4" s="43" t="b">
        <v>0</v>
      </c>
      <c r="CK4" s="43" t="b">
        <v>0</v>
      </c>
      <c r="CL4" s="45" t="b">
        <v>1</v>
      </c>
      <c r="CM4" s="39" t="b">
        <v>0</v>
      </c>
      <c r="CN4" s="40" t="b">
        <v>0</v>
      </c>
      <c r="CO4" s="40" t="b">
        <v>0</v>
      </c>
      <c r="CP4" s="40" t="b">
        <v>0</v>
      </c>
      <c r="CQ4" s="40"/>
      <c r="CR4" s="40" t="b">
        <v>0</v>
      </c>
      <c r="CS4" s="41" t="b">
        <v>0</v>
      </c>
      <c r="CT4" s="53" t="b">
        <v>0</v>
      </c>
      <c r="CU4" s="43" t="b">
        <v>0</v>
      </c>
      <c r="CV4" s="43" t="b">
        <v>0</v>
      </c>
      <c r="CW4" s="45"/>
      <c r="CX4" s="39" t="b">
        <v>0</v>
      </c>
      <c r="CY4" s="40" t="b">
        <v>0</v>
      </c>
      <c r="CZ4" s="40" t="b">
        <v>0</v>
      </c>
      <c r="DA4" s="40" t="b">
        <v>0</v>
      </c>
      <c r="DB4" s="41"/>
      <c r="DC4" s="53" t="b">
        <v>0</v>
      </c>
      <c r="DD4" s="43" t="b">
        <v>0</v>
      </c>
      <c r="DE4" s="43" t="b">
        <v>0</v>
      </c>
      <c r="DF4" s="43" t="b">
        <v>0</v>
      </c>
      <c r="DG4" s="43"/>
      <c r="DH4" s="43" t="b">
        <v>0</v>
      </c>
      <c r="DI4" s="45" t="b">
        <v>0</v>
      </c>
      <c r="DJ4" s="39" t="b">
        <v>0</v>
      </c>
      <c r="DK4" s="40" t="b">
        <v>0</v>
      </c>
      <c r="DL4" s="40" t="b">
        <v>0</v>
      </c>
      <c r="DM4" s="40" t="b">
        <v>0</v>
      </c>
      <c r="DN4" s="41"/>
      <c r="DO4" s="42" t="b">
        <v>1</v>
      </c>
      <c r="DP4" s="44" t="b">
        <v>0</v>
      </c>
      <c r="DQ4" s="61"/>
      <c r="DR4" s="71" t="b">
        <v>1</v>
      </c>
      <c r="DS4" s="65" t="b">
        <v>0</v>
      </c>
      <c r="DT4" s="65" t="b">
        <v>0</v>
      </c>
      <c r="DU4" s="65" t="b">
        <v>0</v>
      </c>
      <c r="DV4" s="65" t="b">
        <v>0</v>
      </c>
      <c r="DW4" s="65" t="b">
        <v>0</v>
      </c>
      <c r="DX4" s="65" t="b">
        <v>0</v>
      </c>
      <c r="DY4" s="65" t="b">
        <v>0</v>
      </c>
      <c r="DZ4" s="65" t="b">
        <v>0</v>
      </c>
      <c r="EA4" s="72" t="b">
        <v>0</v>
      </c>
      <c r="EB4" s="39" t="b">
        <v>0</v>
      </c>
      <c r="EC4" s="40" t="b">
        <v>0</v>
      </c>
      <c r="ED4" s="40" t="b">
        <v>1</v>
      </c>
      <c r="EE4" s="40" t="b">
        <v>0</v>
      </c>
      <c r="EF4" s="40" t="b">
        <v>0</v>
      </c>
      <c r="EG4" s="41" t="b">
        <v>0</v>
      </c>
      <c r="EH4" s="42"/>
      <c r="EI4" s="43"/>
      <c r="EJ4" s="43"/>
      <c r="EK4" s="43"/>
      <c r="EL4" s="43" t="b">
        <v>1</v>
      </c>
      <c r="EM4" s="43"/>
      <c r="EN4" s="44" t="b">
        <v>0</v>
      </c>
      <c r="EO4" s="39" t="b">
        <v>0</v>
      </c>
      <c r="EP4" s="40" t="b">
        <v>0</v>
      </c>
      <c r="EQ4" s="40" t="b">
        <v>0</v>
      </c>
      <c r="ER4" s="40" t="b">
        <v>1</v>
      </c>
      <c r="ES4" s="40" t="b">
        <v>0</v>
      </c>
      <c r="ET4" s="40" t="b">
        <v>0</v>
      </c>
      <c r="EU4" s="40" t="b">
        <v>0</v>
      </c>
      <c r="EV4" s="41"/>
      <c r="EW4" s="42" t="b">
        <v>0</v>
      </c>
      <c r="EX4" s="44" t="b">
        <v>0</v>
      </c>
      <c r="EY4" s="39" t="b">
        <v>0</v>
      </c>
      <c r="EZ4" s="40"/>
      <c r="FA4" s="40" t="b">
        <v>0</v>
      </c>
      <c r="FB4" s="40"/>
      <c r="FC4" s="40" t="b">
        <v>0</v>
      </c>
      <c r="FD4" s="41"/>
      <c r="FE4" s="42" t="b">
        <v>0</v>
      </c>
      <c r="FF4" s="43" t="b">
        <v>0</v>
      </c>
      <c r="FG4" s="43" t="b">
        <v>0</v>
      </c>
      <c r="FH4" s="44"/>
      <c r="FI4" s="39" t="b">
        <v>0</v>
      </c>
      <c r="FJ4" s="40" t="b">
        <v>1</v>
      </c>
      <c r="FK4" s="40" t="b">
        <v>0</v>
      </c>
      <c r="FL4" s="40" t="b">
        <v>0</v>
      </c>
      <c r="FM4" s="40" t="b">
        <v>0</v>
      </c>
      <c r="FN4" s="41"/>
      <c r="FO4" s="42" t="b">
        <v>1</v>
      </c>
      <c r="FP4" s="43" t="b">
        <v>0</v>
      </c>
      <c r="FQ4" s="43" t="b">
        <v>0</v>
      </c>
      <c r="FR4" s="43" t="b">
        <v>1</v>
      </c>
      <c r="FS4" s="43" t="b">
        <v>1</v>
      </c>
      <c r="FT4" s="43" t="b">
        <v>0</v>
      </c>
      <c r="FU4" s="43" t="b">
        <v>1</v>
      </c>
      <c r="FV4" s="43" t="b">
        <v>0</v>
      </c>
      <c r="FW4" s="43" t="b">
        <v>0</v>
      </c>
      <c r="FX4" s="44"/>
      <c r="FY4" s="61"/>
      <c r="FZ4" s="61"/>
      <c r="GA4" s="57"/>
      <c r="GB4" s="39" t="b">
        <v>0</v>
      </c>
      <c r="GC4" s="40" t="b">
        <v>0</v>
      </c>
      <c r="GD4" s="40" t="b">
        <v>0</v>
      </c>
      <c r="GE4" s="40" t="b">
        <v>0</v>
      </c>
      <c r="GF4" s="40" t="b">
        <v>0</v>
      </c>
      <c r="GG4" s="40" t="b">
        <v>0</v>
      </c>
      <c r="GH4" s="40" t="b">
        <v>0</v>
      </c>
      <c r="GI4" s="40" t="b">
        <v>0</v>
      </c>
      <c r="GJ4" s="41"/>
      <c r="GK4" s="42" t="b">
        <v>0</v>
      </c>
      <c r="GL4" s="43" t="b">
        <v>0</v>
      </c>
      <c r="GM4" s="43" t="b">
        <v>0</v>
      </c>
      <c r="GN4" s="43" t="b">
        <v>0</v>
      </c>
      <c r="GO4" s="44"/>
      <c r="GP4" s="39" t="b">
        <v>0</v>
      </c>
      <c r="GQ4" s="40" t="b">
        <v>0</v>
      </c>
      <c r="GR4" s="40" t="b">
        <v>0</v>
      </c>
      <c r="GS4" s="41"/>
      <c r="GT4" s="42" t="b">
        <v>0</v>
      </c>
      <c r="GU4" s="43" t="b">
        <v>0</v>
      </c>
      <c r="GV4" s="43" t="b">
        <v>0</v>
      </c>
      <c r="GW4" s="43" t="b">
        <v>0</v>
      </c>
      <c r="GX4" s="43" t="b">
        <v>0</v>
      </c>
      <c r="GY4" s="44"/>
      <c r="GZ4" s="39" t="b">
        <v>0</v>
      </c>
      <c r="HA4" s="40" t="b">
        <v>0</v>
      </c>
      <c r="HB4" s="40" t="b">
        <v>0</v>
      </c>
      <c r="HC4" s="41"/>
      <c r="HD4" s="42" t="b">
        <v>0</v>
      </c>
      <c r="HE4" s="43" t="b">
        <v>0</v>
      </c>
      <c r="HF4" s="43" t="b">
        <v>0</v>
      </c>
      <c r="HG4" s="43" t="b">
        <v>0</v>
      </c>
      <c r="HH4" s="43" t="b">
        <v>0</v>
      </c>
      <c r="HI4" s="44"/>
      <c r="HJ4" s="39" t="b">
        <v>0</v>
      </c>
      <c r="HK4" s="40" t="b">
        <v>0</v>
      </c>
      <c r="HL4" s="40" t="b">
        <v>0</v>
      </c>
      <c r="HM4" s="40" t="b">
        <v>0</v>
      </c>
      <c r="HN4" s="41"/>
      <c r="HO4" s="46" t="b">
        <v>0</v>
      </c>
      <c r="HP4" s="61" t="b">
        <v>0</v>
      </c>
      <c r="HQ4" s="53" t="b">
        <v>0</v>
      </c>
      <c r="HR4" s="45"/>
      <c r="HS4" s="39" t="b">
        <v>0</v>
      </c>
      <c r="HT4" s="40" t="b">
        <v>0</v>
      </c>
      <c r="HU4" s="40" t="b">
        <v>0</v>
      </c>
      <c r="HV4" s="40" t="b">
        <v>0</v>
      </c>
      <c r="HW4" s="41" t="b">
        <v>0</v>
      </c>
      <c r="HX4" s="46"/>
      <c r="HY4" s="61"/>
    </row>
    <row r="5" spans="1:233" s="6" customFormat="1" x14ac:dyDescent="0.2">
      <c r="A5" s="6" t="s">
        <v>450</v>
      </c>
      <c r="B5" s="202" t="str">
        <f>調査票!AC1</f>
        <v>令和　　　7年　　　12月　　　12日</v>
      </c>
      <c r="C5" s="17" t="str">
        <f>調査票!B7</f>
        <v>萩原　佑紀</v>
      </c>
      <c r="D5" s="18" t="str">
        <f>調査票!B11</f>
        <v>ﾊｷﾞﾜﾗ ﾕｳｷ</v>
      </c>
      <c r="E5" s="19">
        <f>調査票!X11</f>
        <v>35199</v>
      </c>
      <c r="F5" s="18">
        <f>調査票!AA8</f>
        <v>6</v>
      </c>
      <c r="G5" s="200">
        <f>調査票!AJ8</f>
        <v>202406317</v>
      </c>
      <c r="H5" s="7">
        <f>調査票!F14</f>
        <v>5620031</v>
      </c>
      <c r="I5" s="8" t="str">
        <f>調査票!F15</f>
        <v>大阪府箕面市小野原東2-10-16 石塚ハイム406</v>
      </c>
      <c r="J5" s="8" t="str">
        <f>調査票!F18</f>
        <v>08058620514</v>
      </c>
      <c r="K5" s="9" t="str">
        <f>調査票!Y18</f>
        <v>yhagiwara@biken.osaka-u.ac.jp</v>
      </c>
      <c r="L5" s="17" t="str">
        <f>調査票!T21</f>
        <v>Ⅱ</v>
      </c>
      <c r="M5" s="18">
        <f>調査票!V21</f>
        <v>0</v>
      </c>
      <c r="N5" s="20">
        <f>調査票!AM21</f>
        <v>0</v>
      </c>
      <c r="O5" s="7">
        <f>調査票!H25</f>
        <v>0</v>
      </c>
      <c r="P5" s="8">
        <f>調査票!J25</f>
        <v>0</v>
      </c>
      <c r="Q5" s="8">
        <f>調査票!O25</f>
        <v>0</v>
      </c>
      <c r="R5" s="8">
        <f>調査票!Q25</f>
        <v>0</v>
      </c>
      <c r="S5" s="8">
        <f>調査票!T25</f>
        <v>0</v>
      </c>
      <c r="T5" s="8">
        <f>調査票!V25</f>
        <v>0</v>
      </c>
      <c r="U5" s="9">
        <f>調査票!AM25</f>
        <v>0</v>
      </c>
      <c r="V5" s="17">
        <f>調査票!H26</f>
        <v>0</v>
      </c>
      <c r="W5" s="18">
        <f>調査票!J26</f>
        <v>0</v>
      </c>
      <c r="X5" s="18">
        <f>調査票!O26</f>
        <v>0</v>
      </c>
      <c r="Y5" s="18">
        <f>調査票!Q26</f>
        <v>0</v>
      </c>
      <c r="Z5" s="18">
        <f>調査票!T26</f>
        <v>0</v>
      </c>
      <c r="AA5" s="18">
        <f>調査票!V26</f>
        <v>0</v>
      </c>
      <c r="AB5" s="20">
        <f>調査票!AM26</f>
        <v>0</v>
      </c>
      <c r="AC5" s="7">
        <f>調査票!O28</f>
        <v>7</v>
      </c>
      <c r="AD5" s="9">
        <f>調査票!Q28</f>
        <v>9</v>
      </c>
      <c r="AE5" s="17">
        <f>調査票!H31</f>
        <v>7</v>
      </c>
      <c r="AF5" s="18">
        <f>調査票!J31</f>
        <v>10</v>
      </c>
      <c r="AG5" s="18">
        <f>調査票!O31</f>
        <v>0</v>
      </c>
      <c r="AH5" s="18">
        <f>調査票!Q31</f>
        <v>0</v>
      </c>
      <c r="AI5" s="18" t="str">
        <f>調査票!T31</f>
        <v>日本・大阪大学　微生物病研究所　特任助教</v>
      </c>
      <c r="AJ5" s="20"/>
      <c r="AK5" s="54">
        <f>調査票!H32</f>
        <v>0</v>
      </c>
      <c r="AL5" s="8">
        <f>調査票!J32</f>
        <v>0</v>
      </c>
      <c r="AM5" s="8">
        <f>調査票!O32</f>
        <v>0</v>
      </c>
      <c r="AN5" s="8">
        <f>調査票!Q32</f>
        <v>0</v>
      </c>
      <c r="AO5" s="8">
        <f>調査票!T32</f>
        <v>0</v>
      </c>
      <c r="AP5" s="10"/>
      <c r="AQ5" s="17">
        <f>調査票!H33</f>
        <v>0</v>
      </c>
      <c r="AR5" s="18">
        <f>調査票!J33</f>
        <v>0</v>
      </c>
      <c r="AS5" s="18">
        <f>調査票!O33</f>
        <v>0</v>
      </c>
      <c r="AT5" s="18">
        <f>調査票!Q33</f>
        <v>0</v>
      </c>
      <c r="AU5" s="18">
        <f>調査票!T33</f>
        <v>0</v>
      </c>
      <c r="AV5" s="20"/>
      <c r="AW5" s="54">
        <f>調査票!H34</f>
        <v>0</v>
      </c>
      <c r="AX5" s="8">
        <f>調査票!J34</f>
        <v>0</v>
      </c>
      <c r="AY5" s="8">
        <f>調査票!O34</f>
        <v>0</v>
      </c>
      <c r="AZ5" s="8">
        <f>調査票!Q34</f>
        <v>0</v>
      </c>
      <c r="BA5" s="8">
        <f>調査票!T34</f>
        <v>0</v>
      </c>
      <c r="BB5" s="10">
        <f>調査票!AM34</f>
        <v>0</v>
      </c>
      <c r="BC5" s="17">
        <f>調査票!H35</f>
        <v>0</v>
      </c>
      <c r="BD5" s="18">
        <f>調査票!J35</f>
        <v>0</v>
      </c>
      <c r="BE5" s="18">
        <f>調査票!O35</f>
        <v>0</v>
      </c>
      <c r="BF5" s="18">
        <f>調査票!Q35</f>
        <v>0</v>
      </c>
      <c r="BG5" s="18">
        <f>調査票!T35</f>
        <v>0</v>
      </c>
      <c r="BH5" s="20">
        <f>調査票!AM35</f>
        <v>0</v>
      </c>
      <c r="BI5" s="54">
        <f>調査票!H36</f>
        <v>0</v>
      </c>
      <c r="BJ5" s="8">
        <f>調査票!J36</f>
        <v>0</v>
      </c>
      <c r="BK5" s="8">
        <f>調査票!O36</f>
        <v>0</v>
      </c>
      <c r="BL5" s="8">
        <f>調査票!Q36</f>
        <v>0</v>
      </c>
      <c r="BM5" s="8">
        <f>調査票!T36</f>
        <v>0</v>
      </c>
      <c r="BN5" s="10">
        <f>調査票!AM36</f>
        <v>0</v>
      </c>
      <c r="BO5" s="17">
        <f>調査票!H37</f>
        <v>0</v>
      </c>
      <c r="BP5" s="18">
        <f>調査票!J37</f>
        <v>0</v>
      </c>
      <c r="BQ5" s="18">
        <f>調査票!O37</f>
        <v>0</v>
      </c>
      <c r="BR5" s="18">
        <f>調査票!Q37</f>
        <v>0</v>
      </c>
      <c r="BS5" s="18">
        <f>調査票!T37</f>
        <v>0</v>
      </c>
      <c r="BT5" s="20">
        <f>調査票!AM37</f>
        <v>0</v>
      </c>
      <c r="BU5" s="54">
        <f>調査票!H38</f>
        <v>0</v>
      </c>
      <c r="BV5" s="8">
        <f>調査票!J38</f>
        <v>0</v>
      </c>
      <c r="BW5" s="8">
        <f>調査票!O38</f>
        <v>0</v>
      </c>
      <c r="BX5" s="8">
        <f>調査票!Q38</f>
        <v>0</v>
      </c>
      <c r="BY5" s="8">
        <f>調査票!T38</f>
        <v>0</v>
      </c>
      <c r="BZ5" s="10">
        <f>調査票!AM38</f>
        <v>0</v>
      </c>
      <c r="CA5" s="17">
        <f>調査票!H39</f>
        <v>0</v>
      </c>
      <c r="CB5" s="18">
        <f>調査票!J39</f>
        <v>0</v>
      </c>
      <c r="CC5" s="18">
        <f>調査票!O39</f>
        <v>0</v>
      </c>
      <c r="CD5" s="18">
        <f>調査票!Q39</f>
        <v>0</v>
      </c>
      <c r="CE5" s="18">
        <f>調査票!T39</f>
        <v>0</v>
      </c>
      <c r="CF5" s="20">
        <f>調査票!AM39</f>
        <v>0</v>
      </c>
      <c r="CG5" s="54" t="str">
        <f>IF(CG4=TRUE,CG3,"")</f>
        <v/>
      </c>
      <c r="CH5" s="8" t="str">
        <f t="shared" ref="CH5:CP5" si="4">IF(CH4=TRUE,CH3,"")</f>
        <v/>
      </c>
      <c r="CI5" s="8" t="str">
        <f t="shared" si="4"/>
        <v/>
      </c>
      <c r="CJ5" s="8" t="str">
        <f t="shared" si="4"/>
        <v/>
      </c>
      <c r="CK5" s="8" t="str">
        <f t="shared" si="4"/>
        <v/>
      </c>
      <c r="CL5" s="10" t="str">
        <f t="shared" si="4"/>
        <v>6：資格Ⅱ</v>
      </c>
      <c r="CM5" s="17" t="str">
        <f t="shared" si="4"/>
        <v/>
      </c>
      <c r="CN5" s="18" t="str">
        <f t="shared" si="4"/>
        <v/>
      </c>
      <c r="CO5" s="18" t="str">
        <f t="shared" si="4"/>
        <v/>
      </c>
      <c r="CP5" s="18" t="str">
        <f t="shared" si="4"/>
        <v/>
      </c>
      <c r="CQ5" s="18">
        <f>調査票!L82</f>
        <v>0</v>
      </c>
      <c r="CR5" s="18" t="str">
        <f>IF(CR4=TRUE,CR3,"2：無給")</f>
        <v>2：無給</v>
      </c>
      <c r="CS5" s="20" t="str">
        <f>IF(CS4=TRUE,CS3,"2：サバティカル利用なし")</f>
        <v>2：サバティカル利用なし</v>
      </c>
      <c r="CT5" s="54" t="str">
        <f>IF(CT4=TRUE,CT3,"")</f>
        <v/>
      </c>
      <c r="CU5" s="8" t="str">
        <f>IF(CU4=TRUE,CU3,"")</f>
        <v/>
      </c>
      <c r="CV5" s="8" t="str">
        <f>IF(CV4=TRUE,CV3,"")</f>
        <v/>
      </c>
      <c r="CW5" s="10">
        <f>調査票!L91</f>
        <v>0</v>
      </c>
      <c r="CX5" s="17" t="str">
        <f>IF(CX4=TRUE,CX3,"")</f>
        <v/>
      </c>
      <c r="CY5" s="18" t="str">
        <f>IF(CY4=TRUE,CY3,"")</f>
        <v/>
      </c>
      <c r="CZ5" s="18" t="str">
        <f>IF(CZ4=TRUE,CZ3,"")</f>
        <v/>
      </c>
      <c r="DA5" s="18" t="str">
        <f>IF(DA4=TRUE,DA3,"")</f>
        <v/>
      </c>
      <c r="DB5" s="20">
        <f>調査票!L100</f>
        <v>0</v>
      </c>
      <c r="DC5" s="54" t="str">
        <f>IF(DC4=TRUE,DC3,"")</f>
        <v/>
      </c>
      <c r="DD5" s="8" t="str">
        <f>IF(DD4=TRUE,DD3,"")</f>
        <v/>
      </c>
      <c r="DE5" s="8" t="str">
        <f>IF(DE4=TRUE,DE3,"")</f>
        <v/>
      </c>
      <c r="DF5" s="8" t="str">
        <f>IF(DF4=TRUE,DF3,"")</f>
        <v/>
      </c>
      <c r="DG5" s="8">
        <f>調査票!L109</f>
        <v>0</v>
      </c>
      <c r="DH5" s="8" t="str">
        <f>IF(DH4=TRUE,DH3,"2：無給")</f>
        <v>2：無給</v>
      </c>
      <c r="DI5" s="10" t="str">
        <f>IF(DI4=TRUE,DI3,"2：サバティカル利用なし")</f>
        <v>2：サバティカル利用なし</v>
      </c>
      <c r="DJ5" s="17" t="str">
        <f>IF(DJ4=TRUE,DJ3,"")</f>
        <v/>
      </c>
      <c r="DK5" s="18" t="str">
        <f>IF(DK4=TRUE,DK3,"")</f>
        <v/>
      </c>
      <c r="DL5" s="18" t="str">
        <f>IF(DL4=TRUE,DL3,"")</f>
        <v/>
      </c>
      <c r="DM5" s="18" t="str">
        <f>IF(DM4=TRUE,DM3,"")</f>
        <v/>
      </c>
      <c r="DN5" s="20">
        <f>調査票!L119</f>
        <v>0</v>
      </c>
      <c r="DO5" s="7" t="str">
        <f>IF(DO4=TRUE,DO3,"")</f>
        <v>1：研究職</v>
      </c>
      <c r="DP5" s="9" t="str">
        <f>IF(DP4=TRUE,DP3,"")</f>
        <v/>
      </c>
      <c r="DQ5" s="62" t="str">
        <f>調査票!G147</f>
        <v>大阪大学　微生物病研究所</v>
      </c>
      <c r="DR5" s="73" t="str">
        <f t="shared" ref="DR5:EG5" si="5">IF(DR4=TRUE,DR3,"")</f>
        <v>1：国立大学法人</v>
      </c>
      <c r="DS5" s="66" t="str">
        <f t="shared" si="5"/>
        <v/>
      </c>
      <c r="DT5" s="66" t="str">
        <f t="shared" si="5"/>
        <v/>
      </c>
      <c r="DU5" s="66" t="str">
        <f t="shared" si="5"/>
        <v/>
      </c>
      <c r="DV5" s="66" t="str">
        <f t="shared" si="5"/>
        <v/>
      </c>
      <c r="DW5" s="66" t="str">
        <f t="shared" si="5"/>
        <v/>
      </c>
      <c r="DX5" s="66" t="str">
        <f t="shared" si="5"/>
        <v/>
      </c>
      <c r="DY5" s="66" t="str">
        <f t="shared" si="5"/>
        <v/>
      </c>
      <c r="DZ5" s="66" t="str">
        <f t="shared" si="5"/>
        <v/>
      </c>
      <c r="EA5" s="74" t="str">
        <f t="shared" si="5"/>
        <v/>
      </c>
      <c r="EB5" s="17" t="str">
        <f t="shared" si="5"/>
        <v/>
      </c>
      <c r="EC5" s="18" t="str">
        <f t="shared" si="5"/>
        <v/>
      </c>
      <c r="ED5" s="18" t="str">
        <f t="shared" si="5"/>
        <v>3：常勤（任期付）</v>
      </c>
      <c r="EE5" s="18" t="str">
        <f t="shared" si="5"/>
        <v/>
      </c>
      <c r="EF5" s="18" t="str">
        <f t="shared" si="5"/>
        <v/>
      </c>
      <c r="EG5" s="20" t="str">
        <f t="shared" si="5"/>
        <v/>
      </c>
      <c r="EH5" s="7">
        <f>調査票!J164</f>
        <v>7</v>
      </c>
      <c r="EI5" s="8">
        <f>調査票!L164</f>
        <v>10</v>
      </c>
      <c r="EJ5" s="8">
        <f>調査票!P164</f>
        <v>8</v>
      </c>
      <c r="EK5" s="8">
        <f>調査票!R164</f>
        <v>3</v>
      </c>
      <c r="EL5" s="8" t="str">
        <f>IF(EL4=TRUE,EL3,"")</f>
        <v>更新有り</v>
      </c>
      <c r="EM5" s="8">
        <f>調査票!AE164</f>
        <v>3</v>
      </c>
      <c r="EN5" s="9" t="str">
        <f t="shared" ref="EN5:EU5" si="6">IF(EN4=TRUE,EN3,"")</f>
        <v/>
      </c>
      <c r="EO5" s="17" t="str">
        <f t="shared" si="6"/>
        <v/>
      </c>
      <c r="EP5" s="18" t="str">
        <f t="shared" si="6"/>
        <v/>
      </c>
      <c r="EQ5" s="18" t="str">
        <f t="shared" si="6"/>
        <v/>
      </c>
      <c r="ER5" s="18" t="str">
        <f t="shared" si="6"/>
        <v>4：助教</v>
      </c>
      <c r="ES5" s="18" t="str">
        <f t="shared" si="6"/>
        <v/>
      </c>
      <c r="ET5" s="18" t="str">
        <f t="shared" si="6"/>
        <v/>
      </c>
      <c r="EU5" s="18" t="str">
        <f t="shared" si="6"/>
        <v/>
      </c>
      <c r="EV5" s="20">
        <f>調査票!M178</f>
        <v>0</v>
      </c>
      <c r="EW5" s="7" t="str">
        <f>IF(EW4=TRUE,EW3,"")</f>
        <v/>
      </c>
      <c r="EX5" s="9" t="str">
        <f>IF(EX4=TRUE,EX3,"")</f>
        <v/>
      </c>
      <c r="EY5" s="17" t="str">
        <f>IF(EY4=TRUE,EY3,"")</f>
        <v/>
      </c>
      <c r="EZ5" s="18">
        <f>調査票!U185</f>
        <v>0</v>
      </c>
      <c r="FA5" s="18" t="str">
        <f>IF(FA4=TRUE,FA3,"")</f>
        <v/>
      </c>
      <c r="FB5" s="18">
        <f>調査票!U187</f>
        <v>0</v>
      </c>
      <c r="FC5" s="18" t="str">
        <f>IF(FC4=TRUE,FC3,"")</f>
        <v/>
      </c>
      <c r="FD5" s="20">
        <f>調査票!N189</f>
        <v>0</v>
      </c>
      <c r="FE5" s="7" t="str">
        <f>IF(FE4=TRUE,FE3,"")</f>
        <v/>
      </c>
      <c r="FF5" s="8" t="str">
        <f>IF(FF4=TRUE,FF3,"")</f>
        <v/>
      </c>
      <c r="FG5" s="8" t="str">
        <f>IF(FG4=TRUE,FG3,"")</f>
        <v/>
      </c>
      <c r="FH5" s="9">
        <f>調査票!N195</f>
        <v>0</v>
      </c>
      <c r="FI5" s="17" t="str">
        <f>IF(FI4=TRUE,FI3,"")</f>
        <v/>
      </c>
      <c r="FJ5" s="18" t="str">
        <f>IF(FJ4=TRUE,FJ3,"")</f>
        <v>2：役立った</v>
      </c>
      <c r="FK5" s="18" t="str">
        <f>IF(FK4=TRUE,FK3,"")</f>
        <v/>
      </c>
      <c r="FL5" s="18" t="str">
        <f>IF(FL4=TRUE,FL3,"")</f>
        <v/>
      </c>
      <c r="FM5" s="18" t="str">
        <f>IF(FM4=TRUE,FM3,"")</f>
        <v/>
      </c>
      <c r="FN5" s="20">
        <f>調査票!G213</f>
        <v>0</v>
      </c>
      <c r="FO5" s="7" t="str">
        <f t="shared" ref="FO5:FW5" si="7">IF(FO4=TRUE,FO3,"")</f>
        <v>1：研究能力身についた</v>
      </c>
      <c r="FP5" s="8" t="str">
        <f t="shared" si="7"/>
        <v/>
      </c>
      <c r="FQ5" s="8" t="str">
        <f t="shared" si="7"/>
        <v/>
      </c>
      <c r="FR5" s="8" t="str">
        <f t="shared" si="7"/>
        <v>4：経済的不安</v>
      </c>
      <c r="FS5" s="8" t="str">
        <f t="shared" si="7"/>
        <v>5：海外経験</v>
      </c>
      <c r="FT5" s="8" t="str">
        <f t="shared" si="7"/>
        <v/>
      </c>
      <c r="FU5" s="8" t="str">
        <f t="shared" si="7"/>
        <v>7：人脈・交流</v>
      </c>
      <c r="FV5" s="8" t="str">
        <f t="shared" si="7"/>
        <v/>
      </c>
      <c r="FW5" s="8" t="str">
        <f t="shared" si="7"/>
        <v/>
      </c>
      <c r="FX5" s="9">
        <f>調査票!G234</f>
        <v>0</v>
      </c>
      <c r="FY5" s="62" t="str">
        <f>調査票!G243</f>
        <v>第41回井上研究奨励賞、公益財団法人　井上科学振興財団、光熱効果による有機結晶の高速アクチュエーション、2025年2月5日</v>
      </c>
      <c r="FZ5" s="62" t="str">
        <f>調査票!G249</f>
        <v>特になし</v>
      </c>
      <c r="GA5" s="58">
        <f>調査票!G268</f>
        <v>0</v>
      </c>
      <c r="GB5" s="17" t="str">
        <f t="shared" ref="GB5:GI5" si="8">IF(GB4=TRUE,GB3,"")</f>
        <v/>
      </c>
      <c r="GC5" s="18" t="str">
        <f t="shared" si="8"/>
        <v/>
      </c>
      <c r="GD5" s="18" t="str">
        <f t="shared" si="8"/>
        <v/>
      </c>
      <c r="GE5" s="18" t="str">
        <f t="shared" si="8"/>
        <v/>
      </c>
      <c r="GF5" s="18" t="str">
        <f t="shared" si="8"/>
        <v/>
      </c>
      <c r="GG5" s="18" t="str">
        <f t="shared" si="8"/>
        <v/>
      </c>
      <c r="GH5" s="18" t="str">
        <f t="shared" si="8"/>
        <v/>
      </c>
      <c r="GI5" s="18" t="str">
        <f t="shared" si="8"/>
        <v/>
      </c>
      <c r="GJ5" s="20">
        <f>調査票!L279</f>
        <v>0</v>
      </c>
      <c r="GK5" s="7" t="str">
        <f>IF(GK4=TRUE,GK3,"")</f>
        <v/>
      </c>
      <c r="GL5" s="8" t="str">
        <f>IF(GL4=TRUE,GL3,"")</f>
        <v/>
      </c>
      <c r="GM5" s="8" t="str">
        <f>IF(GM4=TRUE,GM3,"")</f>
        <v/>
      </c>
      <c r="GN5" s="8" t="str">
        <f>IF(GN4=TRUE,GN3,"")</f>
        <v/>
      </c>
      <c r="GO5" s="9">
        <f>調査票!L284</f>
        <v>0</v>
      </c>
      <c r="GP5" s="17" t="str">
        <f>IF(GP4=TRUE,GP3,"")</f>
        <v/>
      </c>
      <c r="GQ5" s="18" t="str">
        <f>IF(GQ4=TRUE,GQ3,"")</f>
        <v/>
      </c>
      <c r="GR5" s="18" t="str">
        <f>IF(GR4=TRUE,GR3,"")</f>
        <v/>
      </c>
      <c r="GS5" s="20">
        <f>調査票!L289</f>
        <v>0</v>
      </c>
      <c r="GT5" s="7" t="str">
        <f>IF(GT4=TRUE,GT3,"")</f>
        <v/>
      </c>
      <c r="GU5" s="8" t="str">
        <f>IF(GU4=TRUE,GU3,"")</f>
        <v/>
      </c>
      <c r="GV5" s="8" t="str">
        <f>IF(GV4=TRUE,GV3,"")</f>
        <v/>
      </c>
      <c r="GW5" s="8" t="str">
        <f>IF(GW4=TRUE,GW3,"")</f>
        <v/>
      </c>
      <c r="GX5" s="8" t="str">
        <f>IF(GX4=TRUE,GX3,"")</f>
        <v/>
      </c>
      <c r="GY5" s="9">
        <f>調査票!L294</f>
        <v>0</v>
      </c>
      <c r="GZ5" s="17" t="str">
        <f>IF(GZ4=TRUE,GZ3,"")</f>
        <v/>
      </c>
      <c r="HA5" s="18" t="str">
        <f>IF(HA4=TRUE,HA3,"")</f>
        <v/>
      </c>
      <c r="HB5" s="18" t="str">
        <f>IF(HB4=TRUE,HB3,"")</f>
        <v/>
      </c>
      <c r="HC5" s="20">
        <f>調査票!L299</f>
        <v>0</v>
      </c>
      <c r="HD5" s="7" t="str">
        <f>IF(HD4=TRUE,HD3,"")</f>
        <v/>
      </c>
      <c r="HE5" s="8" t="str">
        <f>IF(HE4=TRUE,HE3,"")</f>
        <v/>
      </c>
      <c r="HF5" s="8" t="str">
        <f>IF(HF4=TRUE,HF3,"")</f>
        <v/>
      </c>
      <c r="HG5" s="8" t="str">
        <f>IF(HG4=TRUE,HG3,"")</f>
        <v/>
      </c>
      <c r="HH5" s="8" t="str">
        <f>IF(HH4=TRUE,HH3,"")</f>
        <v/>
      </c>
      <c r="HI5" s="9">
        <f>調査票!L304</f>
        <v>0</v>
      </c>
      <c r="HJ5" s="17" t="str">
        <f>IF(HJ4=TRUE,HJ3,"")</f>
        <v/>
      </c>
      <c r="HK5" s="18" t="str">
        <f>IF(HK4=TRUE,HK3,"")</f>
        <v/>
      </c>
      <c r="HL5" s="18" t="str">
        <f>IF(HL4=TRUE,HL3,"")</f>
        <v/>
      </c>
      <c r="HM5" s="18" t="str">
        <f>IF(HM4=TRUE,HM3,"")</f>
        <v/>
      </c>
      <c r="HN5" s="20">
        <f>調査票!L309</f>
        <v>0</v>
      </c>
      <c r="HO5" s="21" t="str">
        <f>IF(HO4=TRUE,HO3,"")</f>
        <v/>
      </c>
      <c r="HP5" s="62" t="str">
        <f>IF(HP4=TRUE,HP3,"")</f>
        <v/>
      </c>
      <c r="HQ5" s="54" t="str">
        <f>IF(HQ4=TRUE,HQ3,"")</f>
        <v/>
      </c>
      <c r="HR5" s="10">
        <f>調査票!G316</f>
        <v>0</v>
      </c>
      <c r="HS5" s="17" t="str">
        <f>IF(HS4=TRUE,HS3,"")</f>
        <v/>
      </c>
      <c r="HT5" s="18" t="str">
        <f>IF(HT4=TRUE,HT3,"")</f>
        <v/>
      </c>
      <c r="HU5" s="18" t="str">
        <f>IF(HU4=TRUE,HU3,"")</f>
        <v/>
      </c>
      <c r="HV5" s="18" t="str">
        <f>IF(HV4=TRUE,HV3,"")</f>
        <v/>
      </c>
      <c r="HW5" s="20" t="str">
        <f>IF(HW4=TRUE,HW3,"")</f>
        <v/>
      </c>
      <c r="HX5" s="21">
        <f>調査票!G340</f>
        <v>0</v>
      </c>
      <c r="HY5" s="62">
        <f>調査票!G351</f>
        <v>0</v>
      </c>
    </row>
    <row r="7" spans="1:233" ht="20.149999999999999" customHeight="1" x14ac:dyDescent="0.2">
      <c r="A7" s="203" t="s">
        <v>451</v>
      </c>
    </row>
  </sheetData>
  <phoneticPr fontId="5"/>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調査票</vt:lpstr>
      <vt:lpstr>集計票</vt:lpstr>
      <vt:lpstr>調査票!Print_Area</vt:lpstr>
    </vt:vector>
  </TitlesOfParts>
  <Manager/>
  <Company>独立行政法人日本学術振興会</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独立行政法人日本学術振興会</dc:creator>
  <cp:keywords/>
  <dc:description/>
  <cp:lastModifiedBy>萩原　佑紀</cp:lastModifiedBy>
  <cp:revision/>
  <dcterms:created xsi:type="dcterms:W3CDTF">2009-10-09T01:45:13Z</dcterms:created>
  <dcterms:modified xsi:type="dcterms:W3CDTF">2025-12-12T06:36:38Z</dcterms:modified>
  <cp:category/>
  <cp:contentStatus/>
</cp:coreProperties>
</file>